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6160" windowHeight="15720" tabRatio="600" firstSheet="0" activeTab="1" autoFilterDateGrouping="1"/>
  </bookViews>
  <sheets>
    <sheet xmlns:r="http://schemas.openxmlformats.org/officeDocument/2006/relationships" name="Target_Values" sheetId="1" state="visible" r:id="rId1"/>
    <sheet xmlns:r="http://schemas.openxmlformats.org/officeDocument/2006/relationships" name="Gemini-3-thinking" sheetId="2" state="visible" r:id="rId2"/>
    <sheet xmlns:r="http://schemas.openxmlformats.org/officeDocument/2006/relationships" name="Deepseek" sheetId="3" state="visible" r:id="rId3"/>
    <sheet xmlns:r="http://schemas.openxmlformats.org/officeDocument/2006/relationships" name="Sonnet-4.5" sheetId="4" state="visible" r:id="rId4"/>
    <sheet xmlns:r="http://schemas.openxmlformats.org/officeDocument/2006/relationships" name="chatGPT-5.1" sheetId="5" state="visible" r:id="rId5"/>
    <sheet xmlns:r="http://schemas.openxmlformats.org/officeDocument/2006/relationships" name="chatGPT-4o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2" pivotButton="0" quotePrefix="0" xfId="0"/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</cellXfs>
  <cellStyles count="1">
    <cellStyle name="Standard" xfId="0" builtinId="0"/>
  </cellStyles>
  <dxfs count="5"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opLeftCell="A7" workbookViewId="0">
      <selection activeCell="B9" sqref="B9"/>
    </sheetView>
  </sheetViews>
  <sheetFormatPr baseColWidth="10" defaultColWidth="9.140625" defaultRowHeight="15"/>
  <cols>
    <col width="35" customWidth="1" min="1" max="1"/>
    <col width="30" customWidth="1" min="2" max="2"/>
  </cols>
  <sheetData>
    <row r="1">
      <c r="A1" s="1" t="inlineStr">
        <is>
          <t>Versuch</t>
        </is>
      </c>
      <c r="B1" s="1" t="inlineStr">
        <is>
          <t>Target Value</t>
        </is>
      </c>
    </row>
    <row r="2">
      <c r="A2" s="1" t="inlineStr">
        <is>
          <t>Modell</t>
        </is>
      </c>
      <c r="B2" t="inlineStr">
        <is>
          <t>EXR054A</t>
        </is>
      </c>
    </row>
    <row r="3">
      <c r="A3" s="1" t="inlineStr">
        <is>
          <t>Bandbreite</t>
        </is>
      </c>
      <c r="B3" t="n">
        <v>500</v>
      </c>
    </row>
    <row r="4">
      <c r="A4" s="1" t="inlineStr">
        <is>
          <t>Anzahl Kanäle</t>
        </is>
      </c>
      <c r="B4" t="n">
        <v>4</v>
      </c>
    </row>
    <row r="5">
      <c r="A5" s="1" t="inlineStr">
        <is>
          <t>Samplerate</t>
        </is>
      </c>
      <c r="B5" t="n">
        <v>16</v>
      </c>
    </row>
    <row r="6">
      <c r="A6" s="1" t="inlineStr">
        <is>
          <t>Speichertiefe</t>
        </is>
      </c>
      <c r="B6" t="n">
        <v>100</v>
      </c>
    </row>
    <row r="7" ht="105" customHeight="1">
      <c r="A7" s="1" t="inlineStr">
        <is>
          <t>Triggerarten</t>
        </is>
      </c>
      <c r="B7" s="4" t="inlineStr">
        <is>
          <t>Edge, Pulse width, Glitch, Runt, Timeout, Pattern/State, Setup/hold, Window, Protocol, Generic Protocol, Burst, Nth Edge, OR'd Edges, InfiniiScan Zone, Measurement limit, Non-monotonic edge</t>
        </is>
      </c>
    </row>
    <row r="8">
      <c r="A8" s="1" t="inlineStr">
        <is>
          <t>Vertikale Auflösung</t>
        </is>
      </c>
      <c r="B8" t="n">
        <v>10</v>
      </c>
    </row>
    <row r="9">
      <c r="A9" s="1" t="inlineStr">
        <is>
          <t>Anzahl Digitalkanäle</t>
        </is>
      </c>
    </row>
    <row r="10">
      <c r="A10" s="1" t="inlineStr">
        <is>
          <t>Bildschirmgröße</t>
        </is>
      </c>
      <c r="B10" t="n">
        <v>39.6</v>
      </c>
    </row>
    <row r="11">
      <c r="A11" s="1" t="inlineStr">
        <is>
          <t>Bildschirmtyp.pixel</t>
        </is>
      </c>
      <c r="B11" t="inlineStr">
        <is>
          <t>1920, 1080</t>
        </is>
      </c>
    </row>
    <row r="12">
      <c r="A12" s="1" t="inlineStr">
        <is>
          <t>Bildschirmtyp.screen_type</t>
        </is>
      </c>
      <c r="B12" t="inlineStr">
        <is>
          <t>Touchscreen</t>
        </is>
      </c>
    </row>
    <row r="13">
      <c r="A13" s="1" t="inlineStr">
        <is>
          <t>Schnittstellen.relevant_interfaces</t>
        </is>
      </c>
      <c r="B13" t="inlineStr">
        <is>
          <t>USB, LAN, Audio</t>
        </is>
      </c>
    </row>
    <row r="14">
      <c r="A14" s="1" t="inlineStr">
        <is>
          <t>Schnittstellen.optionale_interfaces</t>
        </is>
      </c>
    </row>
    <row r="15" ht="240" customHeight="1">
      <c r="A15" s="1" t="inlineStr">
        <is>
          <t>unterstützende serielle Busse</t>
        </is>
      </c>
      <c r="B15" s="4" t="inlineStr">
        <is>
          <t>Optional: I²C, SPI, Quad SPI, eSPI, Quad eSPI, RS232, UART, JTAG, I²S, 
SVID, Manchester, USB 2.0, 10/100 Mb/s Ethernet, USB-PD, PCIe Gen 1 (decode), CAN, LIN, CAN-FD, SENT, FlexRay, CAN XL, RFFE, I3C, SPM, C-PHY/D-PHY based CSI &amp; DSI (Up to 2.5 Gbps), CSI 3, DigRFv4, LLI, UniPro, UFS, SSIC (Up to Gear 1 Speed), ARINC 429, MIL-STD 1553, SpaceWire, 100BASE-T1 Automotive Ethernet, USB 2.0, USB-PD, eUSB2, USB4 LS (decode)</t>
        </is>
      </c>
    </row>
    <row r="16">
      <c r="A16" s="1" t="inlineStr">
        <is>
          <t>Signalerfassungsrate</t>
        </is>
      </c>
      <c r="B16" t="n">
        <v>200000</v>
      </c>
    </row>
    <row r="17">
      <c r="A17" s="1" t="inlineStr">
        <is>
          <t>segmentierbarer Speicher</t>
        </is>
      </c>
      <c r="B17" t="inlineStr">
        <is>
          <t>Yes</t>
        </is>
      </c>
    </row>
    <row r="18">
      <c r="A18" s="1" t="inlineStr">
        <is>
          <t>Funktionsgenerator</t>
        </is>
      </c>
      <c r="B18" t="inlineStr">
        <is>
          <t>Optional</t>
        </is>
      </c>
    </row>
    <row r="19">
      <c r="A19" s="1" t="inlineStr">
        <is>
          <t>DVM</t>
        </is>
      </c>
      <c r="B19" t="inlineStr">
        <is>
          <t>Yes</t>
        </is>
      </c>
    </row>
    <row r="20">
      <c r="A20" s="1" t="inlineStr">
        <is>
          <t>Counter</t>
        </is>
      </c>
      <c r="B20" t="inlineStr">
        <is>
          <t>Yes</t>
        </is>
      </c>
    </row>
    <row r="21">
      <c r="A21" s="1" t="inlineStr">
        <is>
          <t>Besonderheiten</t>
        </is>
      </c>
      <c r="B21" t="inlineStr">
        <is>
          <t>Optional: Logic Analysis 16 Kanäle, Memoryupgrade, Bandbreitenupgrade</t>
        </is>
      </c>
    </row>
    <row r="22">
      <c r="A22" s="1" t="inlineStr">
        <is>
          <t>Abmessungen (L x B x H) (mm)</t>
        </is>
      </c>
      <c r="B22" t="inlineStr">
        <is>
          <t>223, 443, 327</t>
        </is>
      </c>
    </row>
    <row r="23">
      <c r="A23" s="1" t="inlineStr">
        <is>
          <t>Gewicht (kg)</t>
        </is>
      </c>
      <c r="B23" t="n">
        <v>13.75</v>
      </c>
    </row>
    <row r="24">
      <c r="A24" s="1" t="inlineStr">
        <is>
          <t>Garantie (Jahre)</t>
        </is>
      </c>
    </row>
    <row r="25">
      <c r="A25" s="1" t="inlineStr">
        <is>
          <t>Artikelnummer</t>
        </is>
      </c>
      <c r="B25" t="inlineStr">
        <is>
          <t>EXR054A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tabSelected="1" workbookViewId="0">
      <selection activeCell="B10" sqref="B10"/>
    </sheetView>
  </sheetViews>
  <sheetFormatPr baseColWidth="10" defaultColWidth="9.140625" defaultRowHeight="15"/>
  <cols>
    <col width="35" customWidth="1" min="1" max="1"/>
    <col width="30" customWidth="1" min="2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>
        <f>Target_Values!A1</f>
        <v/>
      </c>
      <c r="B1" s="1">
        <f>Target_Values!B1</f>
        <v/>
      </c>
      <c r="C1" s="1" t="n">
        <v>1</v>
      </c>
      <c r="D1" s="6" t="n">
        <v>2</v>
      </c>
      <c r="E1" s="6" t="n">
        <v>3</v>
      </c>
      <c r="F1" s="6" t="n">
        <v>4</v>
      </c>
      <c r="G1" s="6" t="n">
        <v>5</v>
      </c>
    </row>
    <row r="2">
      <c r="A2" s="1">
        <f>Target_Values!A2</f>
        <v/>
      </c>
      <c r="B2" s="1">
        <f>Target_Values!B2</f>
        <v/>
      </c>
      <c r="C2" s="2" t="inlineStr">
        <is>
          <t>EXR054A</t>
        </is>
      </c>
      <c r="D2" s="7" t="inlineStr">
        <is>
          <t>EXR054A</t>
        </is>
      </c>
      <c r="E2" s="7" t="inlineStr">
        <is>
          <t>EXR054A</t>
        </is>
      </c>
      <c r="F2" s="7" t="inlineStr">
        <is>
          <t>EXR054A</t>
        </is>
      </c>
      <c r="G2" s="7" t="inlineStr">
        <is>
          <t>EXR054A</t>
        </is>
      </c>
    </row>
    <row r="3">
      <c r="A3" s="1">
        <f>Target_Values!A3</f>
        <v/>
      </c>
      <c r="B3" s="1">
        <f>Target_Values!B3</f>
        <v/>
      </c>
      <c r="C3" s="3" t="n">
        <v>500</v>
      </c>
      <c r="D3" s="8" t="n">
        <v>500</v>
      </c>
      <c r="E3" s="8" t="n">
        <v>500</v>
      </c>
      <c r="F3" s="8" t="n">
        <v>500</v>
      </c>
      <c r="G3" s="8" t="n">
        <v>500</v>
      </c>
    </row>
    <row r="4">
      <c r="A4" s="1">
        <f>Target_Values!A4</f>
        <v/>
      </c>
      <c r="B4" s="1">
        <f>Target_Values!B4</f>
        <v/>
      </c>
      <c r="C4" s="2" t="n">
        <v>4</v>
      </c>
      <c r="D4" s="7" t="n">
        <v>4</v>
      </c>
      <c r="E4" s="7" t="n">
        <v>4</v>
      </c>
      <c r="F4" s="7" t="n">
        <v>4</v>
      </c>
      <c r="G4" s="7" t="n">
        <v>4</v>
      </c>
    </row>
    <row r="5">
      <c r="A5" s="1">
        <f>Target_Values!A5</f>
        <v/>
      </c>
      <c r="B5" s="1">
        <f>Target_Values!B5</f>
        <v/>
      </c>
      <c r="C5" s="2" t="n">
        <v>16</v>
      </c>
      <c r="D5" s="7" t="n">
        <v>16</v>
      </c>
      <c r="E5" s="7" t="n">
        <v>16</v>
      </c>
      <c r="F5" s="7" t="n">
        <v>16</v>
      </c>
      <c r="G5" s="7" t="n">
        <v>16</v>
      </c>
    </row>
    <row r="6">
      <c r="A6" s="1">
        <f>Target_Values!A6</f>
        <v/>
      </c>
      <c r="B6" s="1">
        <f>Target_Values!B6</f>
        <v/>
      </c>
      <c r="C6" s="2" t="n">
        <v>100</v>
      </c>
      <c r="D6" s="7" t="n">
        <v>100</v>
      </c>
      <c r="E6" s="7" t="n">
        <v>100</v>
      </c>
      <c r="F6" s="7" t="n">
        <v>100</v>
      </c>
      <c r="G6" s="7" t="n">
        <v>100</v>
      </c>
    </row>
    <row r="7" ht="135" customHeight="1">
      <c r="A7" s="1">
        <f>Target_Values!A7</f>
        <v/>
      </c>
      <c r="B7" s="1">
        <f>Target_Values!B7</f>
        <v/>
      </c>
      <c r="C7" s="3" t="inlineStr">
        <is>
          <t>Burst, Edge, Edge then edge (event), Edge then edge (time), Edge transition, Generic Protocol, Glitch, InfiniiScan Zone, Measurement limit, Non-monotonic edge, Nth Edge, OR'd Edges, Pattern/State, Protocol, Pulse width, Runt, Setup / hold, Timeout, Window</t>
        </is>
      </c>
      <c r="D7" s="8" t="inlineStr">
        <is>
          <t>Burst, Edge, Edge then edge, Edge transition, Generic Protocol, Glitch, InfiniiScan Zone, Measurement limit, Non-monotonic edge, Nth Edge, OR'd Edges, Pattern/State, Protocol, Pulse width, Runt, Setup / hold, Timeout, Window</t>
        </is>
      </c>
      <c r="E7" s="8" t="inlineStr">
        <is>
          <t>Burst, Edge, Edge then edge (event), Edge then edge (time), Edge transition, Generic Protocol, Glitch, InfiniiScan Zone, Measurement limit, Non-monotonic edge, Nth Edge, OR'd Edges, Pattern/State, Protocol, Pulse width, Runt, Setup / hold, Timeout, Window</t>
        </is>
      </c>
      <c r="F7" s="8" t="inlineStr">
        <is>
          <t>Burst, Edge, Edge then edge, Edge transition, Generic Protocol, Glitch, InfiniiScan Zone, Measurement limit, Non-monotonic edge, Nth Edge, OR'd Edges, Pattern/State, Protocol, Pulse width, Runt, Setup / hold, Timeout, Window</t>
        </is>
      </c>
      <c r="G7" s="8" t="inlineStr">
        <is>
          <t>Burst, Edge, Edge then edge (event), Edge then edge (time), Edge transition, Generic Protocol, Glitch, InfiniiScan Zone, Measurement limit, Non-monotonic edge, Nth Edge, OR'd Edges, Pattern/State, Protocol, Pulse width, Runt, Setup / hold, Timeout, Window</t>
        </is>
      </c>
    </row>
    <row r="8">
      <c r="A8" s="1">
        <f>Target_Values!A8</f>
        <v/>
      </c>
      <c r="B8" s="1">
        <f>Target_Values!B8</f>
        <v/>
      </c>
      <c r="C8" s="2" t="n">
        <v>10</v>
      </c>
      <c r="D8" s="7" t="n">
        <v>10</v>
      </c>
      <c r="E8" s="7" t="n">
        <v>10</v>
      </c>
      <c r="F8" s="7" t="n">
        <v>10</v>
      </c>
      <c r="G8" s="7" t="n">
        <v>10</v>
      </c>
    </row>
    <row r="9">
      <c r="A9" s="1">
        <f>Target_Values!A9</f>
        <v/>
      </c>
      <c r="B9" s="1">
        <f>Target_Values!B11</f>
        <v/>
      </c>
      <c r="C9" s="2" t="n">
        <v>16</v>
      </c>
      <c r="D9" s="7" t="n">
        <v>16</v>
      </c>
      <c r="E9" s="7" t="n">
        <v>16</v>
      </c>
      <c r="F9" s="7" t="n">
        <v>16</v>
      </c>
      <c r="G9" s="7" t="n">
        <v>16</v>
      </c>
    </row>
    <row r="10">
      <c r="A10" s="1">
        <f>Target_Values!A10</f>
        <v/>
      </c>
      <c r="B10" s="1">
        <f>Target_Values!B10</f>
        <v/>
      </c>
      <c r="C10" s="2" t="n">
        <v>39.6</v>
      </c>
      <c r="D10" s="7" t="n">
        <v>39.62</v>
      </c>
      <c r="E10" s="7" t="n">
        <v>39.6</v>
      </c>
      <c r="F10" s="7" t="n">
        <v>15.6</v>
      </c>
      <c r="G10" s="7" t="n">
        <v>39.6</v>
      </c>
    </row>
    <row r="11">
      <c r="A11" s="1">
        <f>Target_Values!A11</f>
        <v/>
      </c>
      <c r="B11" s="1">
        <f>Target_Values!B11</f>
        <v/>
      </c>
      <c r="C11" s="3" t="inlineStr">
        <is>
          <t>1920, 1080</t>
        </is>
      </c>
      <c r="D11" s="8" t="inlineStr">
        <is>
          <t>1920, 1080</t>
        </is>
      </c>
      <c r="E11" s="8" t="inlineStr">
        <is>
          <t>1920, 1080</t>
        </is>
      </c>
      <c r="F11" s="8" t="inlineStr">
        <is>
          <t>1920, 1080</t>
        </is>
      </c>
      <c r="G11" s="8" t="inlineStr">
        <is>
          <t>1920, 1080</t>
        </is>
      </c>
    </row>
    <row r="12">
      <c r="A12" s="1">
        <f>Target_Values!A12</f>
        <v/>
      </c>
      <c r="B12" s="1">
        <f>Target_Values!B12</f>
        <v/>
      </c>
      <c r="C12" s="2" t="inlineStr">
        <is>
          <t>capacitive multi-touch</t>
        </is>
      </c>
      <c r="D12" s="7" t="inlineStr">
        <is>
          <t>capacitive multi-touch, Full HD</t>
        </is>
      </c>
      <c r="E12" s="7" t="inlineStr">
        <is>
          <t>capacitive multi-touch, Full HD</t>
        </is>
      </c>
      <c r="F12" s="7" t="inlineStr">
        <is>
          <t>capacitive multi-touch, Full HD</t>
        </is>
      </c>
      <c r="G12" s="7" t="inlineStr">
        <is>
          <t>capacitive multi-touch, Full HD</t>
        </is>
      </c>
    </row>
    <row r="13" ht="60" customHeight="1">
      <c r="A13" s="1">
        <f>Target_Values!A13</f>
        <v/>
      </c>
      <c r="B13" s="1">
        <f>Target_Values!B13</f>
        <v/>
      </c>
      <c r="C13" s="3" t="inlineStr">
        <is>
          <t>Audio (Microphone, line in, line out), DisplayPort, LAN (10/100/1000Base-T), USB 3.0 device, USB 3.0 host, VGA</t>
        </is>
      </c>
      <c r="D13" s="8" t="inlineStr">
        <is>
          <t>DisplayPort, LAN (10/100/1000Base-T), USB 3.0, VGA</t>
        </is>
      </c>
      <c r="E13" s="8" t="inlineStr">
        <is>
          <t>Audio, DisplayPort, LAN, USB 3.0, VGA</t>
        </is>
      </c>
      <c r="F13" s="8" t="inlineStr">
        <is>
          <t>Audio, DisplayPort, LAN, USB 3.0, VGA</t>
        </is>
      </c>
      <c r="G13" s="8" t="inlineStr">
        <is>
          <t>Audio (Microphone, line in, line out), DisplayPort, LAN (RJ-45, 10/100/1000Base-T), USB 3.0, VGA</t>
        </is>
      </c>
    </row>
    <row r="14">
      <c r="A14" s="1">
        <f>Target_Values!A14</f>
        <v/>
      </c>
      <c r="B14" s="1">
        <f>Target_Values!B14</f>
        <v/>
      </c>
      <c r="C14" s="3" t="inlineStr">
        <is>
          <t>Auxiliary out, Trigger out</t>
        </is>
      </c>
      <c r="D14" s="8" t="inlineStr"/>
      <c r="E14" s="8" t="inlineStr">
        <is>
          <t>Auxiliary out, Trigger out</t>
        </is>
      </c>
      <c r="F14" s="7" t="n"/>
      <c r="G14" s="8" t="inlineStr">
        <is>
          <t>GPIB</t>
        </is>
      </c>
    </row>
    <row r="15" ht="240" customHeight="1">
      <c r="A15" s="1">
        <f>Target_Values!A15</f>
        <v/>
      </c>
      <c r="B15" s="5">
        <f>Target_Values!B15</f>
        <v/>
      </c>
      <c r="C15" s="3" t="inlineStr">
        <is>
          <t>100BASE-T1, ARINC 429, CAN, CAN XL, CAN-FD, DDR, DisplayPort AUX, eSPI, Ethernet, eUSB2, FlexRay, I2C, I2S, JTAG, LIN, LPDDR, Manchester, MDIO, MIL-STD 1553, MIPI C-PHY, MIPI D-PHY, MIPI I3C, MIPI M-PHY, MIPI RFFE, MIPI SPMI, PCIe, Quad SPI, RS232, SAS, SATA, SENT, SpaceWire, SPI, SVID, UART, UFS, USB 2.0, USB 3.x, USB-PD, USB4 LS</t>
        </is>
      </c>
      <c r="D15" s="8" t="inlineStr">
        <is>
          <t>100BASE-T1 Automotive Ethernet, ARINC 429, CAN, CAN XL, CAN-FD, eSPI, Ethernet (10/100 Mb/s), eUSB2, FlexRay, I2C, I2S, JTAG, LIN, Manchester, MIL-STD 1553, MIPI C-PHY, MIPI D-PHY, MIPI I3C, MIPI M-PHY, MIPI RFFE, MIPI SPMI, PCIe Gen 1, Quad eSPI, Quad SPI, RS232, SENT, Space Wire, SPI, SVID, UART, USB 2.0, USB-PD, USB4 LS</t>
        </is>
      </c>
      <c r="E15" s="8" t="inlineStr">
        <is>
          <t>10/100 Mb/s Ethernet, 100BASE-T1, ARINC 429, C-PHY, CAN, CAN XL, CAN-FD, CSI 3, D-PHY, DigRFv4, eSPI, eUSB2, FlexRay, I2C, I2S, I3C, JTAG, LIN, LLI, Manchester, MIL-STD 1553, PCIe Gen 1, Quad eSPI, Quad SPI, RFFE, RS232, SENT, Space Wire, SPI, SPMI, SSIC, SVID, UART, UFS, UniPro, USB 2.0, USB-PD, USB4 LS</t>
        </is>
      </c>
      <c r="F15" s="8" t="inlineStr">
        <is>
          <t>10/100 Mb/s Ethernet, 100BASE-T1 Automotive Ethernet, ARINC 429, CAN, CAN XL, CAN-FD, DDR, DisplayPort AUX, eSPI, eUSB2, FlexRay, I2C, I2S, JTAG, LIN, LPDDR, Manchester, MDIO, MIL-STD 1553, MIPI C-PHY, MIPI CSI &amp; DSI, MIPI CSI 3, MIPI D-PHY, MIPI DigRFv4, MIPI I3C, MIPI LLI, MIPI M-PHY, MIPI RFFE, MIPI SPMI, MIPI SSIC, MIPI UFS, MIPI UniPro, PCIe Gen 1, Quad eSPI, Quad SPI, RS232, SAS, SATA, SENT, SpaceWire, SPI, SVID, UART, USB 2.0, USB-PD, USB4 LS</t>
        </is>
      </c>
      <c r="G15" s="8" t="inlineStr">
        <is>
          <t>10/100 Mb/s Ethernet, 100BASE-T1 Automotive Ethernet, ARINC 429, CAN, CAN XL, CAN-FD, DisplayPort AUX, eSPI, eUSB2, FlexRay, I2C, I2S, JTAG, LIN, Manchester, MDIO, MIL-STD 1553, MIPI C-PHY, MIPI CSI, MIPI D-PHY, MIPI DigRFv4, MIPI DSI, MIPI I3C, MIPI LLI, MIPI M-PHY, MIPI RFFE, MIPI SPMI, MIPI SSIC, MIPI UFS, MIPI UniPro, PCIe Gen 1, Quad eSPI, Quad SPI, RS232, SENT, Space Wire, SPI, SVID, UART, USB 2.0, USB-PD, USB4 LS</t>
        </is>
      </c>
    </row>
    <row r="16">
      <c r="A16" s="1">
        <f>Target_Values!A16</f>
        <v/>
      </c>
      <c r="B16" s="1">
        <f>Target_Values!B16</f>
        <v/>
      </c>
      <c r="C16" s="2" t="n">
        <v>200000</v>
      </c>
      <c r="D16" s="7" t="n">
        <v>200000</v>
      </c>
      <c r="E16" s="7" t="n">
        <v>200000</v>
      </c>
      <c r="F16" s="7" t="n">
        <v>200000</v>
      </c>
      <c r="G16" s="7" t="n">
        <v>200000</v>
      </c>
    </row>
    <row r="17">
      <c r="A17" s="1">
        <f>Target_Values!A17</f>
        <v/>
      </c>
      <c r="B17" s="1">
        <f>Target_Values!B17</f>
        <v/>
      </c>
      <c r="C17" s="2" t="inlineStr">
        <is>
          <t>Yes</t>
        </is>
      </c>
      <c r="D17" s="7" t="inlineStr">
        <is>
          <t>Yes</t>
        </is>
      </c>
      <c r="E17" s="7" t="inlineStr">
        <is>
          <t>Yes</t>
        </is>
      </c>
      <c r="F17" s="7" t="inlineStr">
        <is>
          <t>Yes</t>
        </is>
      </c>
      <c r="G17" s="7" t="inlineStr">
        <is>
          <t>Yes</t>
        </is>
      </c>
    </row>
    <row r="18">
      <c r="A18" s="1">
        <f>Target_Values!A18</f>
        <v/>
      </c>
      <c r="B18" s="1">
        <f>Target_Values!B18</f>
        <v/>
      </c>
      <c r="C18" s="2" t="inlineStr">
        <is>
          <t>Optional</t>
        </is>
      </c>
      <c r="D18" s="7" t="inlineStr">
        <is>
          <t>Optional</t>
        </is>
      </c>
      <c r="E18" s="7" t="inlineStr">
        <is>
          <t>Optional</t>
        </is>
      </c>
      <c r="F18" s="7" t="inlineStr">
        <is>
          <t>Optional</t>
        </is>
      </c>
      <c r="G18" s="7" t="inlineStr">
        <is>
          <t>Optional</t>
        </is>
      </c>
    </row>
    <row r="19">
      <c r="A19" s="1">
        <f>Target_Values!A19</f>
        <v/>
      </c>
      <c r="B19" s="1">
        <f>Target_Values!B19</f>
        <v/>
      </c>
      <c r="C19" s="2" t="inlineStr">
        <is>
          <t>Yes</t>
        </is>
      </c>
      <c r="D19" s="7" t="inlineStr">
        <is>
          <t>Yes</t>
        </is>
      </c>
      <c r="E19" s="7" t="inlineStr">
        <is>
          <t>Yes</t>
        </is>
      </c>
      <c r="F19" s="7" t="inlineStr">
        <is>
          <t>Yes</t>
        </is>
      </c>
      <c r="G19" s="7" t="inlineStr">
        <is>
          <t>Yes</t>
        </is>
      </c>
    </row>
    <row r="20">
      <c r="A20" s="1">
        <f>Target_Values!A20</f>
        <v/>
      </c>
      <c r="B20" s="1">
        <f>Target_Values!B20</f>
        <v/>
      </c>
      <c r="C20" s="2" t="inlineStr">
        <is>
          <t>Yes</t>
        </is>
      </c>
      <c r="D20" s="7" t="inlineStr">
        <is>
          <t>Yes</t>
        </is>
      </c>
      <c r="E20" s="7" t="inlineStr">
        <is>
          <t>Yes</t>
        </is>
      </c>
      <c r="F20" s="7" t="inlineStr">
        <is>
          <t>Yes</t>
        </is>
      </c>
      <c r="G20" s="7" t="inlineStr">
        <is>
          <t>Yes</t>
        </is>
      </c>
    </row>
    <row r="21">
      <c r="A21" s="1">
        <f>Target_Values!A21</f>
        <v/>
      </c>
      <c r="B21" s="1">
        <f>Target_Values!B21</f>
        <v/>
      </c>
      <c r="C21" s="2" t="inlineStr">
        <is>
          <t>Fault Hunter, 7-in-1 integration, Upgradeable bandwidth and channels, ASIC-accelerated testing, History Mode</t>
        </is>
      </c>
      <c r="D21" s="7" t="inlineStr">
        <is>
          <t>Upgradeable from 4 to 8 channels, 7 instruments in 1, Fault Hunter, ASIC-accelerated</t>
        </is>
      </c>
      <c r="E21" s="7" t="inlineStr">
        <is>
          <t>Fault Hunter, 7 instruments in 1, ASIC accelerated, Completely Upgradeable</t>
        </is>
      </c>
      <c r="F21" s="7" t="inlineStr">
        <is>
          <t>7 instruments in 1, ASIC-accelerated testing, Fault Hunter, History Mode, Upgradeable bandwidth and channels</t>
        </is>
      </c>
      <c r="G21" s="7" t="inlineStr">
        <is>
          <t>7 instruments in 1, ASIC technology, Fault Hunter, completely upgradeable, 15.6" Full HD touch screen</t>
        </is>
      </c>
    </row>
    <row r="22">
      <c r="A22" s="1">
        <f>Target_Values!A22</f>
        <v/>
      </c>
      <c r="B22" s="1">
        <f>Target_Values!B22</f>
        <v/>
      </c>
      <c r="C22" s="3" t="inlineStr">
        <is>
          <t>223, 443, 327</t>
        </is>
      </c>
      <c r="D22" s="8" t="inlineStr">
        <is>
          <t>223, 443, 327</t>
        </is>
      </c>
      <c r="E22" s="8" t="inlineStr">
        <is>
          <t>223, 443, 327</t>
        </is>
      </c>
      <c r="F22" s="8" t="inlineStr">
        <is>
          <t>223, 443, 327</t>
        </is>
      </c>
      <c r="G22" s="8" t="inlineStr">
        <is>
          <t>223, 443, 327</t>
        </is>
      </c>
    </row>
    <row r="23">
      <c r="A23" s="1">
        <f>Target_Values!A23</f>
        <v/>
      </c>
      <c r="B23" s="1">
        <f>Target_Values!B23</f>
        <v/>
      </c>
      <c r="C23" s="2" t="n">
        <v>13.75</v>
      </c>
      <c r="D23" s="7" t="n">
        <v>13.75</v>
      </c>
      <c r="E23" s="7" t="n">
        <v>13.75</v>
      </c>
      <c r="F23" s="7" t="n">
        <v>13.75</v>
      </c>
      <c r="G23" s="7" t="n">
        <v>13.75</v>
      </c>
    </row>
    <row r="24">
      <c r="A24" s="1">
        <f>Target_Values!A24</f>
        <v/>
      </c>
      <c r="B24" s="1">
        <f>Target_Values!B24</f>
        <v/>
      </c>
      <c r="C24" s="2" t="n">
        <v>1</v>
      </c>
      <c r="D24" s="7" t="n">
        <v>1</v>
      </c>
      <c r="E24" s="7" t="n">
        <v>1</v>
      </c>
      <c r="F24" s="7" t="n">
        <v>1</v>
      </c>
      <c r="G24" s="7" t="n">
        <v>1</v>
      </c>
    </row>
    <row r="25">
      <c r="A25" s="1">
        <f>Target_Values!A25</f>
        <v/>
      </c>
      <c r="B25" s="1">
        <f>Target_Values!B25</f>
        <v/>
      </c>
      <c r="C25" s="2" t="inlineStr">
        <is>
          <t>EXR054A</t>
        </is>
      </c>
      <c r="D25" s="7" t="inlineStr">
        <is>
          <t>EXR054A</t>
        </is>
      </c>
      <c r="E25" s="7" t="inlineStr">
        <is>
          <t>EXR054A</t>
        </is>
      </c>
      <c r="F25" s="7" t="inlineStr">
        <is>
          <t>EXR054A</t>
        </is>
      </c>
      <c r="G25" s="7" t="inlineStr">
        <is>
          <t>EXR054A</t>
        </is>
      </c>
    </row>
    <row r="30" ht="409.5" customHeight="1">
      <c r="C30" s="3" t="inlineStr">
        <is>
          <t>{
  "Modell": {
    "value": "EXR054A",
    "source_page": 3,
    "source_region": "EXR054A",
    "confidence": "high"
  },
  "Bandbreite": {
    "value": [
      "500"
    ],
    "unit": "MHz",
    "source_page": 3,
    "source_region": "500 MHz to 6 GHz, upgradeable",
    "confidence": "high"
  },
  "Anzahl Kanäle": {
    "value": 4,
    "source_page": 3,
    "source_region": "4 Channels",
    "confidence": "high"
  },
  "Samplerate": {
    "value": 16,
    "unit": "GSa/s",
    "source_page": 21,
    "source_region": "16 GSa/s, all analog channels",
    "confidence": "high"
  },
  "Speichertiefe": {
    "value": 100,
    "unit": "Mpts",
    "source_page": 21,
    "source_region": "100 Mpts/channel, all channels",
    "confidence": "high"
  },
  "Triggerarten": {
    "value": [
      "Edge",
      "Edge transition",
      "Edge then edge (time)",
      "Edge then edge (event)",
      "Pulse width",
      "Glitch",
      "Runt",
      "Timeout",
      "Pattern/State",
      "Setup / hold",
      "Window",
      "Protocol",
      "Generic Protocol",
      "Burst",
      "Nth Edge",
      "OR'd Edges",
      "InfiniiScan Zone",
      "Measurement limit",
      "Non-monotonic edge"
    ],
    "source_page": 25,
    "source_region": "Trigger type... Edge... Edge transition... Edge then edge... Pulse width... Glitch... Runt... Timeout... Pattern/State... Setup / hold... Window... Protocol... Generic Protocol... Burst... Nth Edge... OR'd Edges... InfiniiScan Zone... Measurement limit... Non-monotonic edge",
    "confidence": "high"
  },
  "Vertikale Auflösung": {
    "value": 10,
    "unit": "bit",
    "source_page": 21,
    "source_region": "10 bits, up to 16 bits with high-resolution mode",
    "confidence": "high"
  },
  "Anzahl Digitalkanäle": {
    "value": 16,
    "source_page": 3,
    "source_region": "16, dedicated input, upgradeable",
    "confidence": "high"
  },
  "Bildschirmgröße": {
    "value": 39.6,
    "unit": "cm",
    "source_page": 29,
    "source_region": "15.6\" capacitive multi-touch",
    "confidence": "high"
  },
  "Bildschirmtyp": {
    "pixel": {
      "value": [
        1920,
        1080
      ],
      "unit": "pixels",
      "source_page": 29,
      "source_region": "Full HD (1920x1080)",
      "confidence": "high"
    },
    "screen_type": {
      "value": "capacitive multi-touch",
      "source_page": 29,
      "source_region": "capacitive multi-touch",
      "confidence": "high"
    }
  },
  "Schnittstellen": {
    "relevant_interfaces": {
      "value": [
        "LAN (10/100/1000Base-T)",
        "USB 3.0 host",
        "USB 3.0 device",
        "Audio (Microphone, line in, line out)",
        "DisplayPort",
        "VGA"
      ],
      "source_page": 30,
      "source_region": "LAN... USB... Audio... Display out",
      "confidence": "high"
    },
    "optionale_interfaces": {
      "value": [
        "Trigger out",
        "Auxiliary out"
      ],
      "source_page": 30,
      "source_region": "Trigger out... Auxiliary out",
      "confidence": "high"
    }
  },
  "unterstützende serielle Busse": {
    "value": [
      "I2C",
      "SPI",
      "Quad SPI",
      "eSPI",
      "RS232",
      "UART",
      "JTAG",
      "I2S",
      "SVID",
      "Manchester",
      "MDIO",
      "USB 2.0",
      "Ethernet",
      "USB-PD",
      "eUSB2",
      "PCIe",
      "DisplayPort AUX",
      "CAN",
      "LIN",
      "CAN-FD",
      "SENT",
      "FlexRay",
      "CAN XL",
      "MIPI RFFE",
      "MIPI I3C",
      "MIPI SPMI",
      "MIPI C-PHY",
      "MIPI D-PHY",
      "MIPI M-PHY",
      "ARINC 429",
      "MIL-STD 1553",
      "SpaceWire",
      "100BASE-T1",
      "USB 3.x",
      "USB4 LS",
      "DDR",
      "LPDDR",
      "SATA",
      "SAS",
      "UFS"
    ],
    "source_page": 34,
    "source_region": "Low Speed Serial... Embedded... Low Speed Automotive... MIPI Low Speed... MIPI C-PHY/D-PHY... MIPI M-PHY... Military... High Speed Automotive... USB",
    "confidence": "high"
  },
  "Signalerfassungsrate": {
    "value": 200000,
    "unit": "wfms/s",
    "source_page": 21,
    "source_region": "&gt; 200,000 waveforms/sec",
    "confidence": "high"
  },
  "segmentierbarer Speicher": {
    "value": "Yes",
    "source_page": 5,
    "source_region": "With segmented memory, you can capture &gt; 100,000 events",
    "confidence": "high"
  },
  "Funktionsgenerator": {
    "value": "Optional",
    "source_page": 4,
    "source_region": "50 MHz waveform generator... EXR2WAV",
    "confidence": "high"
  },
  "DVM": {
    "value": "Yes",
    "source_page": 4,
    "source_region": "4-digit DVM... Standard",
    "confidence": "high"
  },
  "Counter": {
    "value": "Yes",
    "source_page": 4,
    "source_region": "10-digit counters... Standard",
    "confidence": "high"
  },
  "Besonderheiten": {
    "value": "Fault Hunter, 7-in-1 integration, Upgradeable bandwidth and channels, ASIC-accelerated testing, History Mode",
    "source_page": 17,
    "source_region": "Fault Hunter automatically finds the most common types of signal faults",
    "confidence": "high"
  },
  "Abmessungen (L x B x H) (mm)": {
    "value": [
      223,
      443,
      327
    ],
    "unit": "mm",
    "source_page": 31,
    "source_region": "Height 327 mm... Width 443 mm... Depth 223 mm",
    "confidence": "high"
  },
  "Gewicht (kg)": {
    "value": 13.75,
    "unit": "kg",
    "source_page": 31,
    "source_region": "4 channel models: 13.75 kg",
    "confidence": "high"
  },
  "Garantie (Jahre)": {
    "value": 1,
    "unit": "Jahre",
    "source_page": 43,
    "source_region": "1-year KeysightCare Assured is included",
    "confidence": "high"
  },
  "Artikelnummer": {
    "value": "EXR054A",
    "source_page": 3,
    "source_region": "EXR054A",
    "confidence": "high"
  }
}</t>
        </is>
      </c>
      <c r="D30" s="8" t="inlineStr">
        <is>
          <t>{
  "Modell": {
    "value": "EXR054A",
    "source_page": 33,
    "source_region": "Model numbers... 500 MHz... EXR054A",
    "confidence": "high"
  },
  "Bandbreite": {
    "value": [
      "500"
    ],
    "unit": "MHz",
    "source_page": 33,
    "source_region": "500 MHz... EXR054A",
    "confidence": "high"
  },
  "Anzahl Kanäle": {
    "value": 4,
    "source_page": 33,
    "source_region": "4 Channels... EXR054A",
    "confidence": "high"
  },
  "Samplerate": {
    "value": 16,
    "unit": "GSa/s",
    "source_page": 3,
    "source_region": "Sample rate 16 GSa/s",
    "confidence": "high"
  },
  "Speichertiefe": {
    "value": 100,
    "unit": "Mpts",
    "source_page": 3,
    "source_region": "Memory 100 Mpts, upgradeable to 400 Mpts or 1.6 Gpts flexible memory",
    "confidence": "high"
  },
  "Triggerarten": {
    "value": [
      "Edge",
      "Edge transition",
      "Edge then edge",
      "Pulse width",
      "Glitch",
      "Runt",
      "Timeout",
      "Pattern/State",
      "Setup / hold",
      "Window",
      "Protocol",
      "Generic Protocol",
      "Burst",
      "Nth Edge",
      "OR'd Edges",
      "InfiniiScan Zone",
      "Measurement limit",
      "Non-monotonic edge"
    ],
    "source_page": 25,
    "source_region": "Trigger type... Edge... Edge transition... Edge then edge... Pulse width... Glitch... Runt... Timeout... Pattern/State... Setup / hold... Window... Protocol... Generic Protocol... Burst... Nth Edge... OR'd Edges... InfiniiScan Zone... Measurement limit... Non-monotonic edge",
    "confidence": "high"
  },
  "Vertikale Auflösung": {
    "value": 10,
    "unit": "bit",
    "source_page": 3,
    "source_region": "Resolution 10 bits, up to 16 with high resolution",
    "confidence": "high"
  },
  "Anzahl Digitalkanäle": {
    "value": 16,
    "source_page": 3,
    "source_region": "Digital logic channels 16, dedicated input, upgradeable",
    "confidence": "high"
  },
  "Bildschirmgröße": {
    "value": 39.62,
    "unit": "cm",
    "source_page": 3,
    "source_region": "Screen display 15.6\" touch, full HD",
    "confidence": "high"
  },
  "Bildschirmtyp": {
    "pixel": {
      "value": [
        1920,
        1080
      ],
      "unit": "pixels",
      "source_page": 29,
      "source_region": "15.6\" capacitive multi-touch, Full HD (1920x1080)",
      "confidence": "high"
    },
    "screen_type": {
      "value": "capacitive multi-touch, Full HD",
      "source_page": 29,
      "source_region": "15.6\" capacitive multi-touch, Full HD (1920x1080)",
      "confidence": "high"
    }
  },
  "Schnittstellen": {
    "relevant_interfaces": {
      "value": [
        "LAN (10/100/1000Base-T)",
        "USB 3.0",
        "DisplayPort",
        "VGA"
      ],
      "source_page": 30,
      "source_region": "LAN RJ-45 connector, supports 10/100/1000Base-T... USB 6x USB 3.0 host ports... 1x USB 3.0 device port... Display out DisplayPort and VGA",
      "confidence": "high"
    },
    "optionale_interfaces": {
      "value": [],
      "source_page": null,
      "source_region": null,
      "confidence": "low"
    }
  },
  "unterstützende serielle Busse": {
    "value": [
      "I2C",
      "SPI",
      "Quad SPI",
      "eSPI",
      "Quad eSPI",
      "RS232",
      "UART",
      "JTAG",
      "I2S",
      "SVID",
      "Manchester",
      "USB 2.0",
      "Ethernet (10/100 Mb/s)",
      "USB-PD",
      "PCIe Gen 1",
      "CAN",
      "LIN",
      "CAN-FD",
      "SENT",
      "FlexRay",
      "CAN XL",
      "MIPI RFFE",
      "MIPI I3C",
      "MIPI SPMI",
      "MIPI C-PHY",
      "MIPI D-PHY",
      "MIPI M-PHY",
      "ARINC 429",
      "MIL-STD 1553",
      "Space Wire",
      "100BASE-T1 Automotive Ethernet",
      "eUSB2",
      "USB4 LS"
    ],
    "source_page": 8,
    "source_region": "Low-Speed Serial I2C, SPI, Quad SPI, eSPI, Quad eSPI, RS232, UART, JTAG, I2S, SVID, Manchester... Embedded USB 2.0, 10/100 Mb/s Ethernet, USB-PD, PCIe Gen 1... Low-Speed Automotive CAN, LIN, CAN-FD, SENT, FlexRay, CAN XL... MIPI Low Speed RFFE, 13C, SPMI... MIPI C-PHY, D-PHY... MIPI M-PHY... Military ARINC 429, MIL-STD 1553, Space Wire... High-Speed Automotive 100BASE-T1... USB... eUSB2, USB4 LS",
    "confidence": "high"
  },
  "Signalerfassungsrate": {
    "value": 200000,
    "unit": "wfms/s",
    "source_page": 21,
    "source_region": "Real-time update rate &gt; 200,000 waveforms/sec",
    "confidence": "high"
  },
  "segmentierbarer Speicher": {
    "value": "Yes",
    "source_page": 5,
    "source_region": "With segmented memory, you can capture &gt; 100,000 events post-trigger",
    "confidence": "high"
  },
  "Funktionsgenerator": {
    "value": "Optional",
    "source_page": 33,
    "source_region": "Arbitrary waveform generator, 50 MHz EXR2WAV",
    "confidence": "high"
  },
  "DVM": {
    "value": "Yes",
    "source_page": 33,
    "source_region": "4-digit digital voltmeter... Standard",
    "confidence": "high"
  },
  "Counter": {
    "value": "Yes",
    "source_page": 33,
    "source_region": "10 digit counters Standard",
    "confidence": "high"
  },
  "Besonderheiten": {
    "value": "Upgradeable from 4 to 8 channels, 7 instruments in 1, Fault Hunter, ASIC-accelerated",
    "source_page": 13,
    "source_region": "upgrade from 4 to 8 analog channels... Fault Hunter... 7 instruments in 1",
    "confidence": "high"
  },
  "Abmessungen (L x B x H) (mm)": {
    "value": [
      223,
      443,
      327
    ],
    "unit": "mm",
    "source_page": 31,
    "source_region": "Height 327 mm... Width 443 mm... Depth 223 mm",
    "confidence": "high"
  },
  "Gewicht (kg)": {
    "value": 13.75,
    "unit": "kg",
    "source_page": 31,
    "source_region": "Weight... 4 channel models: 13.75 kg",
    "confidence": "high"
  },
  "Garantie (Jahre)": {
    "value": 1,
    "unit": "Jahre",
    "source_page": 43,
    "source_region": "1-year KeysightCare Assured is included in every new instrument purchase.",
    "confidence": "high"
  },
  "Artikelnummer": {
    "value": "EXR054A",
    "source_page": 33,
    "source_region": "Model numbers... 500 MHz... EXR054A",
    "confidence": "high"
  }
}</t>
        </is>
      </c>
      <c r="E30" s="8" t="inlineStr">
        <is>
          <t>{
  "Modell": {
    "value": "EXR054A",
    "source_page": 3,
    "source_region": "EXR054A",
    "confidence": "high"
  },
  "Bandbreite": {
    "value": [
      "500"
    ],
    "unit": "MHz",
    "source_page": 3,
    "source_region": "500 MHz",
    "confidence": "high"
  },
  "Anzahl Kanäle": {
    "value": 4,
    "source_page": 3,
    "source_region": "4 Channels",
    "confidence": "high"
  },
  "Samplerate": {
    "value": 16,
    "unit": "GSa/s",
    "source_page": 3,
    "source_region": "Sample rate 16 GSa/s",
    "confidence": "high"
  },
  "Speichertiefe": {
    "value": 100,
    "unit": "Mpts",
    "source_page": 3,
    "source_region": "Memory 100 Mpts",
    "confidence": "high"
  },
  "Triggerarten": {
    "value": [
      "Edge",
      "Edge transition",
      "Edge then edge (time)",
      "Edge then edge (event)",
      "Pulse width",
      "Glitch",
      "Runt",
      "Timeout",
      "Pattern/State",
      "Setup / hold",
      "Window",
      "Protocol",
      "Generic Protocol",
      "Burst",
      "Nth Edge",
      "OR'd Edges",
      "InfiniiScan Zone",
      "Measurement limit",
      "Non-monotonic edge"
    ],
    "source_page": 25,
    "source_region": "Edge\nEdge transition\nEdge then edge (time)\nEdge then edge (event)\nPulse width\nGlitch\nRunt\nTimeout\nPattern/State\nSetup / hold\nWindow\nProtocol\nGeneric Protocol\nBurst\nNth Edge\nOR'd Edges\nInfiniiScan Zone\nMeasurement limit\nNon-monotonic edge",
    "confidence": "high"
  },
  "Vertikale Auflösung": {
    "value": 10,
    "unit": "bit",
    "source_page": 3,
    "source_region": "Resolution 10 bits",
    "confidence": "high"
  },
  "Anzahl Digitalkanäle": {
    "value": 16,
    "source_page": 3,
    "source_region": "Digital logic channels 16",
    "confidence": "high"
  },
  "Bildschirmgröße": {
    "value": 39.6,
    "unit": "cm",
    "source_page": 3,
    "source_region": "15.6\" touch",
    "confidence": "high"
  },
  "Bildschirmtyp": {
    "pixel": {
      "value": [
        1920,
        1080
      ],
      "unit": "pixels",
      "source_page": 5,
      "source_region": "1920\times1080 pixels",
      "confidence": "high"
    },
    "screen_type": {
      "value": "capacitive multi-touch, Full HD",
      "source_page": 29,
      "source_region": "15.6\" capacitive multi-touch, Full HD",
      "confidence": "high"
    }
  },
  "Schnittstellen": {
    "relevant_interfaces": {
      "value": [
        "LAN",
        "USB 3.0",
        "Audio",
        "DisplayPort",
        "VGA"
      ],
      "source_page": 30,
      "source_region": "LAN RJ-45... USB 6x USB 3.0 host... 1x USB 3.0 device... Audio Microphone, line in, line out... Display out DisplayPort and VGA",
      "confidence": "high"
    },
    "optionale_interfaces": {
      "value": [
        "Trigger out",
        "Auxiliary out"
      ],
      "source_page": 30,
      "source_region": "Trigger out... Auxiliary out",
      "confidence": "high"
    }
  },
  "unterstützende serielle Busse": {
    "value": [
      "I2C",
      "SPI",
      "Quad SPI",
      "eSPI",
      "Quad eSPI",
      "RS232",
      "UART",
      "JTAG",
      "I2S",
      "SVID",
      "Manchester",
      "USB 2.0",
      "10/100 Mb/s Ethernet",
      "USB-PD",
      "PCIe Gen 1",
      "CAN",
      "LIN",
      "CAN-FD",
      "SENT",
      "FlexRay",
      "CAN XL",
      "RFFE",
      "I3C",
      "SPMI",
      "C-PHY",
      "D-PHY",
      "CSI 3",
      "DigRFv4",
      "LLI",
      "UniPro",
      "UFS",
      "SSIC",
      "ARINC 429",
      "MIL-STD 1553",
      "Space Wire",
      "100BASE-T1",
      "eUSB2",
      "USB4 LS"
    ],
    "source_page": 8,
    "source_region": "I2C, SPI, Quad SPI, eSPI, Quad eSPI, RS232, UART, JTAG, I2S, SVID, Manchester\nUSB 2.0, 10/100 Mb/s Ethernet, USB-PD, PCIe Gen 1\nCAN, LIN, CAN-FD, SENT, FlexRay, CAN XL\nRFFE, 13C, SPMI\nC-PHY/D-PHY based CSI &amp; DSI\nCSI 3, DigRFv4, LLI, UniPro, UFS, SSIC\nARINC 429, MIL-STD 1553, Space Wire\n100BASE-T1 Automotive Ethernet\neUSB2, USB4 LS",
    "confidence": "high"
  },
  "Signalerfassungsrate": {
    "value": 200000,
    "unit": "wfms/s",
    "source_page": 3,
    "source_region": "Update rate &gt; 200,000 wfm/s",
    "confidence": "high"
  },
  "segmentierbarer Speicher": {
    "value": "Yes",
    "source_page": 5,
    "source_region": "Segmented Memory... standard",
    "confidence": "high"
  },
  "Funktionsgenerator": {
    "value": "Optional",
    "source_page": 4,
    "source_region": "50 MHz waveform generator EXR2WAV",
    "confidence": "high"
  },
  "DVM": {
    "value": "Yes",
    "source_page": 4,
    "source_region": "4-digit DVM... Standard",
    "confidence": "high"
  },
  "Counter": {
    "value": "Yes",
    "source_page": 4,
    "source_region": "10-digit counters Standard",
    "confidence": "high"
  },
  "Besonderheiten": {
    "value": "Fault Hunter, 7 instruments in 1, ASIC accelerated, Completely Upgradeable",
    "source_page": 3,
    "source_region": "Fault Hunter... 7 instruments in 1... ASIC-accelerated testing... Completely Upgradeable",
    "confidence": "high"
  },
  "Abmessungen (L x B x H) (mm)": {
    "value": [
      223,
      443,
      327
    ],
    "unit": "mm",
    "source_page": 31,
    "source_region": "Height 327 mm (12.9 in)... Width 443 mm (17.5 in)... Depth 223 mm (8.8 in)",
    "confidence": "high"
  },
  "Gewicht (kg)": {
    "value": 13.75,
    "unit": "kg",
    "source_page": 31,
    "source_region": "Weight... 4 channel models: 13.75 kg",
    "confidence": "high"
  },
  "Garantie (Jahre)": {
    "value": 1,
    "unit": "Jahre",
    "source_page": 43,
    "source_region": "1-year KeysightCare Assured is included in every new instrument purchase",
    "confidence": "high"
  },
  "Artikelnummer": {
    "value": "EXR054A",
    "source_page": 3,
    "source_region": "EXR054A",
    "confidence": "high"
  }
}</t>
        </is>
      </c>
      <c r="F30" s="8" t="inlineStr">
        <is>
          <t>{
  "Modell": {
    "value": "EXR054A",
    "source_page": 33,
    "source_region": "500 MHz EXR054A",
    "confidence": "high"
  },
  "Bandbreite": {
    "value": [
      "500"
    ],
    "unit": "MHz",
    "source_page": 33,
    "source_region": "500 MHz EXR054A",
    "confidence": "high"
  },
  "Anzahl Kanäle": {
    "value": 4,
    "source_page": 33,
    "source_region": "4 channels EXR054A",
    "confidence": "high"
  },
  "Samplerate": {
    "value": 16,
    "unit": "GSa/s",
    "source_page": 3,
    "source_region": "Sample rate 16 GSa/s",
    "confidence": "high"
  },
  "Speichertiefe": {
    "value": 100,
    "unit": "Mpts",
    "source_page": 3,
    "source_region": "Memory 100 Mpts, upgradeable to 400 Mpts or 1.6 Gpts",
    "confidence": "high"
  },
  "Triggerarten": {
    "value": [
      "Edge",
      "Edge transition",
      "Edge then edge",
      "Pulse width",
      "Glitch",
      "Runt",
      "Timeout",
      "Pattern/State",
      "Setup / hold",
      "Window",
      "Protocol",
      "Generic Protocol",
      "Burst",
      "Nth Edge",
      "OR'd Edges",
      "InfiniiScan Zone",
      "Measurement limit",
      "Non-monotonic edge"
    ],
    "source_page": 25,
    "source_region": "Trigger type Edge... Edge transition... Edge then edge... Pulse width Glitch... Runt... Timeout... Pattern/State... Setup / hold... Window... Protocol... Generic Protocol... Burst Nth Edge OR'd Edges... InfiniiScan Zone Measurement limit... Non-monotonic edge",
    "confidence": "high"
  },
  "Vertikale Auflösung": {
    "value": 10,
    "unit": "bit",
    "source_page": 3,
    "source_region": "Resolution 10 bits, up to 16 with high resolution",
    "confidence": "high"
  },
  "Anzahl Digitalkanäle": {
    "value": 16,
    "source_page": 3,
    "source_region": "Digital logic channels 16, dedicated input, upgradeable",
    "confidence": "high"
  },
  "Bildschirmgröße": {
    "value": 15.6,
    "unit": "null",
    "source_page": 29,
    "source_region": "15.6 capacitive multi-touch",
    "confidence": "high"
  },
  "Bildschirmtyp": {
    "pixel": {
      "value": [
        1920,
        1080
      ],
      "unit": "pixels",
      "source_page": 29,
      "source_region": "Full HD (1920x1080)",
      "confidence": "high"
    },
    "screen_type": {
      "value": "capacitive multi-touch, Full HD",
      "source_page": 29,
      "source_region": "15.6 capacitive multi-touch, Full HD (1920x1080)",
      "confidence": "high"
    }
  },
  "Schnittstellen": {
    "relevant_interfaces": {
      "value": [
        "LAN",
        "USB 3.0",
        "DisplayPort",
        "VGA",
        "Audio"
      ],
      "source_page": 30,
      "source_region": "LAN RJ-45 connector... USB 6x USB 3.0 host ports... 1x USB 3.0 device port... Audio Microphone, line in, line out... Display out DisplayPort and VGA",
      "confidence": "high"
    },
    "optionale_interfaces": {
      "value": null,
      "source_page": null,
      "source_region": null,
      "confidence": "low"
    }
  },
  "unterstützende serielle Busse": {
    "value": [
      "I2C",
      "SPI",
      "Quad SPI",
      "eSPI",
      "Quad eSPI",
      "RS232",
      "UART",
      "JTAG",
      "I2S",
      "SVID",
      "Manchester",
      "MDIO",
      "USB 2.0",
      "10/100 Mb/s Ethernet",
      "USB-PD",
      "PCIe Gen 1",
      "DisplayPort AUX",
      "CAN",
      "LIN",
      "CAN-FD",
      "SENT",
      "FlexRay",
      "CAN XL",
      "MIPI RFFE",
      "MIPI I3C",
      "MIPI SPMI",
      "MIPI C-PHY",
      "MIPI D-PHY",
      "MIPI CSI &amp; DSI",
      "MIPI M-PHY",
      "MIPI CSI 3",
      "MIPI DigRFv4",
      "MIPI LLI",
      "MIPI UniPro",
      "MIPI UFS",
      "MIPI SSIC",
      "ARINC 429",
      "MIL-STD 1553",
      "SpaceWire",
      "100BASE-T1 Automotive Ethernet",
      "eUSB2",
      "USB4 LS",
      "DDR",
      "LPDDR",
      "SATA",
      "SAS"
    ],
    "source_page": 34,
    "source_region": "I2C, SPI, Quad SPI, eSPI, RS232, UART, JTAG, I2S, SVID, Manchester, MDIO... 10/100 Mbps Ethernet, USB 2.0, USB-PD, eUSB2, PCIe Gen 1, DisplayPort AUX... CAN, LIN, CAN-FD, SENT, FlexRay, CAN XL... RFFE, I3C, SPMI... C-PHY/D-PHY based CSI &amp; DSI... CSI 3, DigRFv4, LLI, UniPro, UFS, SSIC... ARINC 429, MIL-STD 1553, SpaceWire... 100BASE-T1 Automotive Ethernet... USB 3.x, USB4 LS... DDR2/3/4, LPDDR2/3/4... SATA/SAS",
    "confidence": "high"
  },
  "Signalerfassungsrate": {
    "value": 200000,
    "unit": "wfms/s",
    "source_page": 3,
    "source_region": "Update rate &gt; 200,000 wfm/s",
    "confidence": "high"
  },
  "segmentierbarer Speicher": {
    "value": "Yes",
    "source_page": 5,
    "source_region": "The Infiniium EXR-Series comes standard with... Segmented Memory",
    "confidence": "high"
  },
  "Funktionsgenerator": {
    "value": "Optional",
    "source_page": 33,
    "source_region": "Arbitrary waveform generator, 50 MHz EXR2WAV",
    "confidence": "high"
  },
  "DVM": {
    "value": "Yes",
    "source_page": 4,
    "source_region": "4-digit DVM... Standard",
    "confidence": "high"
  },
  "Counter": {
    "value": "Yes",
    "source_page": 4,
    "source_region": "10-digit counters Standard",
    "confidence": "high"
  },
  "Besonderheiten": {
    "value": "7 instruments in 1, ASIC-accelerated testing, Fault Hunter, History Mode, Upgradeable bandwidth and channels",
    "source_page": 12,
    "source_region": "it's 7 instruments in 1... ASIC-accelerated testing... Fault Hunter... History Mode... Completely Upgradeable... upgrade from 4 to 8 analog channels",
    "confidence": "high"
  },
  "Abmessungen (L x B x H) (mm)": {
    "value": [
      223,
      443,
      327
    ],
    "unit": "mm",
    "source_page": 31,
    "source_region": "Height 327 mm (12.9 in)... Width 443 mm (17.5 in)... Depth 223 mm (8.8 in)",
    "confidence": "high"
  },
  "Gewicht (kg)": {
    "value": 13.75,
    "unit": "kg",
    "source_page": 31,
    "source_region": "Net Weight 4 channel models: 13.75 kg (30.3 lbs.)",
    "confidence": "high"
  },
  "Garantie (Jahre)": {
    "value": 1,
    "unit": "Jahre",
    "source_page": 42,
    "source_region": "1-year KeysightCare Assured is included in every new instrument purchase.",
    "confidence": "medium"
  },
  "Artikelnummer": {
    "value": "EXR054A",
    "source_page": 33,
    "source_region": "Model numbers... EXR054A",
    "confidence": "high"
  }
}</t>
        </is>
      </c>
      <c r="G30" s="8" t="inlineStr">
        <is>
          <t>{
  "Modell": {
    "value": "EXR054A",
    "source_page": 33,
    "source_region": "500 MHz ... EXR054A",
    "confidence": "high"
  },
  "Bandbreite": {
    "value": [
      "500"
    ],
    "unit": "MHz",
    "source_page": 33,
    "source_region": "500 MHz ... EXR054A",
    "confidence": "high"
  },
  "Anzahl Kanäle": {
    "value": 4,
    "source_page": 33,
    "source_region": "4 Channels ... EXR054A",
    "confidence": "high"
  },
  "Samplerate": {
    "value": 16,
    "unit": "GSa/s",
    "source_page": 21,
    "source_region": "Sample rate, real-time 16 GSa/s, all analog channels",
    "confidence": "high"
  },
  "Speichertiefe": {
    "value": 100,
    "unit": "Mpts",
    "source_page": 21,
    "source_region": "Standard 100 Mpts/channel, all channels",
    "confidence": "high"
  },
  "Triggerarten": {
    "value": [
      "Edge",
      "Edge transition",
      "Edge then edge (time)",
      "Edge then edge (event)",
      "Pulse width",
      "Glitch",
      "Runt",
      "Timeout",
      "Pattern/State",
      "Setup / hold",
      "Window",
      "Protocol",
      "Generic Protocol",
      "Burst",
      "Nth Edge",
      "OR'd Edges",
      "InfiniiScan Zone",
      "Measurement limit",
      "Non-monotonic edge"
    ],
    "source_page": 25,
    "source_region": "Trigger type ... Edge ... Edge transition ... Edge then edge (time) ... Edge then edge (event) ... Pulse width Glitch ... Runt ... Timeout ... Pattern/State ... Setup / hold ... Window ... Protocol ... Generic Protocol ... Burst Nth Edge OR'd Edges ... InfiniiScan Zone Measurement limit ... Non-monotonic edge",
    "confidence": "high"
  },
  "Vertikale Auflösung": {
    "value": 10,
    "unit": "bit",
    "source_page": 21,
    "source_region": "Vertical resolution 10 bits, up to 16 bits with high-resolution mode",
    "confidence": "high"
  },
  "Anzahl Digitalkanäle": {
    "value": 16,
    "source_page": 3,
    "source_region": "Digital logic channels 16, dedicated input, upgradeable",
    "confidence": "high"
  },
  "Bildschirmgröße": {
    "value": 39.6,
    "unit": "cm",
    "source_page": 3,
    "source_region": "Screen display 15.6 touch, full HD",
    "confidence": "high"
  },
  "Bildschirmtyp": {
    "pixel": {
      "value": [
        1920,
        1080
      ],
      "unit": "pixels",
      "source_page": 29,
      "source_region": "Size / Resolution 15.6\" capacitive multi-touch, Full HD (1920x1080)",
      "confidence": "high"
    },
    "screen_type": {
      "value": "capacitive multi-touch, Full HD",
      "source_page": 29,
      "source_region": "Size / Resolution 15.6\" capacitive multi-touch, Full HD (1920x1080)",
      "confidence": "high"
    }
  },
  "Schnittstellen": {
    "relevant_interfaces": {
      "value": [
        "LAN (RJ-45, 10/100/1000Base-T)",
        "USB 3.0",
        "Audio (Microphone, line in, line out)",
        "DisplayPort",
        "VGA"
      ],
      "source_page": 30,
      "source_region": "LAN RJ-45 connector... USB 6x USB 3.0 host ports... 1x USB 3.0 device port... Audio Microphone, line in, line out... Display out DisplayPort and VGA",
      "confidence": "high"
    },
    "optionale_interfaces": {
      "value": [
        "GPIB"
      ],
      "source_page": 33,
      "source_region": "GPIB Adapter, Sold by ICS Electronics 4865B3",
      "confidence": "high"
    }
  },
  "unterstützende serielle Busse": {
    "value": [
      "I2C",
      "SPI",
      "Quad SPI",
      "eSPI",
      "Quad eSPI",
      "RS232",
      "UART",
      "JTAG",
      "I2S",
      "SVID",
      "Manchester",
      "MDIO",
      "USB 2.0",
      "10/100 Mb/s Ethernet",
      "USB-PD",
      "PCIe Gen 1",
      "DisplayPort AUX",
      "CAN",
      "LIN",
      "CAN-FD",
      "SENT",
      "FlexRay",
      "CAN XL",
      "MIPI RFFE",
      "MIPI I3C",
      "MIPI SPMI",
      "MIPI C-PHY",
      "MIPI D-PHY",
      "MIPI CSI",
      "MIPI DSI",
      "MIPI M-PHY",
      "MIPI DigRFv4",
      "MIPI LLI",
      "MIPI UniPro",
      "MIPI UFS",
      "MIPI SSIC",
      "ARINC 429",
      "MIL-STD 1553",
      "Space Wire",
      "100BASE-T1 Automotive Ethernet",
      "eUSB2",
      "USB4 LS"
    ],
    "source_page": 8,
    "source_region": "Low-Speed Serial I2C, SPI, Quad SPI, eSPI, Quad eSPI, RS232, UART, JTAG, I2S, SVID, Manchester... Embedded USB 2.0, 10/100 Mb/s Ethernet, USB-PD, PCIe Gen 1... Low-Speed Automotive CAN, LIN, CAN-FD, SENT, FlexRay, CAN XL... MIPI...",
    "confidence": "high"
  },
  "Signalerfassungsrate": {
    "value": 200000,
    "unit": "wfms/s",
    "source_page": 21,
    "source_region": "Real-time update rate &gt; 200,000 waveforms/sec",
    "confidence": "high"
  },
  "segmentierbarer Speicher": {
    "value": "Yes",
    "source_page": 23,
    "source_region": "Acquisition modes ... Segmented Up to 78,953 future acquisitions",
    "confidence": "high"
  },
  "Funktionsgenerator": {
    "value": "Optional",
    "source_page": 33,
    "source_region": "Arbitrary waveform generator, 50 MHz EXR2WAV",
    "confidence": "high"
  },
  "DVM": {
    "value": "Yes",
    "source_page": 33,
    "source_region": "Integrated instruments... 4-digit digital voltmeter... Standard",
    "confidence": "high"
  },
  "Counter": {
    "value": "Yes",
    "source_page": 33,
    "source_region": "Integrated instruments... 10 digit counters Standard",
    "confidence": "high"
  },
  "Besonderheiten": {
    "value": "7 instruments in 1, ASIC technology, Fault Hunter, completely upgradeable, 15.6\" Full HD touch screen",
    "source_page": 12,
    "source_region": "Your Infiniium EXR-Series is more than just an oscilloscope - it's 7 instruments in 1... Fault Hunter... Completely Upgradeable",
    "confidence": "high"
  },
  "Abmessungen (L x B x H) (mm)": {
    "value": [
      223,
      443,
      327
    ],
    "unit": "mm",
    "source_page": 31,
    "source_region": "Dimensions Height 327 mm (12.9 in) ... Width 443 mm (17.5 in) ... Depth 223 mm (8.8 in)",
    "confidence": "high"
  },
  "Gewicht (kg)": {
    "value": 13.75,
    "unit": "kg",
    "source_page": 31,
    "source_region": "Weight 4 channel models: 13.75 kg (30.3 lbs.)",
    "confidence": "high"
  },
  "Garantie (Jahre)": {
    "value": 1,
    "unit": "Jahre",
    "source_page": 43,
    "source_region": "1-year KeysightCare Assured is included in every new instrument purchase.",
    "confidence": "high"
  },
  "Artikelnummer": {
    "value": "EXR054A",
    "source_page": 33,
    "source_region": "Model configuration ... 500 MHz EXR054A",
    "confidence": "high"
  }
}</t>
        </is>
      </c>
    </row>
  </sheetData>
  <conditionalFormatting sqref="C2:Z25">
    <cfRule type="expression" priority="1" dxfId="0">
      <formula>AND(C2=$B2, NOT(ISBLANK(C2)), NOT(ISBLANK($B2)))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10" defaultColWidth="9.140625" defaultRowHeight="15"/>
  <cols>
    <col width="35" customWidth="1" min="1" max="1"/>
    <col width="30" customWidth="1" min="2" max="2"/>
  </cols>
  <sheetData>
    <row r="1">
      <c r="A1" s="1">
        <f>Target_Values!A1</f>
        <v/>
      </c>
      <c r="B1" s="1">
        <f>Target_Values!B1</f>
        <v/>
      </c>
    </row>
    <row r="2">
      <c r="A2" s="1">
        <f>Target_Values!A2</f>
        <v/>
      </c>
      <c r="B2" s="1">
        <f>Target_Values!B2</f>
        <v/>
      </c>
    </row>
    <row r="3">
      <c r="A3" s="1">
        <f>Target_Values!A3</f>
        <v/>
      </c>
      <c r="B3" s="1">
        <f>Target_Values!B3</f>
        <v/>
      </c>
    </row>
    <row r="4">
      <c r="A4" s="1">
        <f>Target_Values!A4</f>
        <v/>
      </c>
      <c r="B4" s="1">
        <f>Target_Values!B4</f>
        <v/>
      </c>
    </row>
    <row r="5">
      <c r="A5" s="1">
        <f>Target_Values!A5</f>
        <v/>
      </c>
      <c r="B5" s="1">
        <f>Target_Values!B5</f>
        <v/>
      </c>
    </row>
    <row r="6">
      <c r="A6" s="1">
        <f>Target_Values!A6</f>
        <v/>
      </c>
      <c r="B6" s="1">
        <f>Target_Values!B6</f>
        <v/>
      </c>
    </row>
    <row r="7">
      <c r="A7" s="1">
        <f>Target_Values!A7</f>
        <v/>
      </c>
      <c r="B7" s="1">
        <f>Target_Values!B7</f>
        <v/>
      </c>
    </row>
    <row r="8">
      <c r="A8" s="1">
        <f>Target_Values!A8</f>
        <v/>
      </c>
      <c r="B8" s="1">
        <f>Target_Values!B8</f>
        <v/>
      </c>
    </row>
    <row r="9">
      <c r="A9" s="1">
        <f>Target_Values!A9</f>
        <v/>
      </c>
      <c r="B9" s="1">
        <f>Target_Values!B11</f>
        <v/>
      </c>
    </row>
    <row r="10">
      <c r="A10" s="1">
        <f>Target_Values!A10</f>
        <v/>
      </c>
      <c r="B10" s="1">
        <f>Target_Values!B10</f>
        <v/>
      </c>
    </row>
    <row r="11">
      <c r="A11" s="1">
        <f>Target_Values!A11</f>
        <v/>
      </c>
      <c r="B11" s="1">
        <f>Target_Values!#REF!</f>
        <v/>
      </c>
    </row>
    <row r="12">
      <c r="A12" s="1">
        <f>Target_Values!A12</f>
        <v/>
      </c>
      <c r="B12" s="1">
        <f>Target_Values!B12</f>
        <v/>
      </c>
    </row>
    <row r="13">
      <c r="A13" s="1">
        <f>Target_Values!A13</f>
        <v/>
      </c>
      <c r="B13" s="1">
        <f>Target_Values!B13</f>
        <v/>
      </c>
    </row>
    <row r="14">
      <c r="A14" s="1">
        <f>Target_Values!A14</f>
        <v/>
      </c>
      <c r="B14" s="1">
        <f>Target_Values!B14</f>
        <v/>
      </c>
    </row>
    <row r="15">
      <c r="A15" s="1">
        <f>Target_Values!A15</f>
        <v/>
      </c>
      <c r="B15" s="1">
        <f>Target_Values!B15</f>
        <v/>
      </c>
    </row>
    <row r="16">
      <c r="A16" s="1">
        <f>Target_Values!A16</f>
        <v/>
      </c>
      <c r="B16" s="1">
        <f>Target_Values!B16</f>
        <v/>
      </c>
    </row>
    <row r="17">
      <c r="A17" s="1">
        <f>Target_Values!A17</f>
        <v/>
      </c>
      <c r="B17" s="1">
        <f>Target_Values!B17</f>
        <v/>
      </c>
    </row>
    <row r="18">
      <c r="A18" s="1">
        <f>Target_Values!A18</f>
        <v/>
      </c>
      <c r="B18" s="1">
        <f>Target_Values!B18</f>
        <v/>
      </c>
    </row>
    <row r="19">
      <c r="A19" s="1">
        <f>Target_Values!A19</f>
        <v/>
      </c>
      <c r="B19" s="1">
        <f>Target_Values!B19</f>
        <v/>
      </c>
    </row>
    <row r="20">
      <c r="A20" s="1">
        <f>Target_Values!A20</f>
        <v/>
      </c>
      <c r="B20" s="1">
        <f>Target_Values!B20</f>
        <v/>
      </c>
    </row>
    <row r="21">
      <c r="A21" s="1">
        <f>Target_Values!A21</f>
        <v/>
      </c>
      <c r="B21" s="1">
        <f>Target_Values!B21</f>
        <v/>
      </c>
    </row>
    <row r="22">
      <c r="A22" s="1">
        <f>Target_Values!A22</f>
        <v/>
      </c>
      <c r="B22" s="1">
        <f>Target_Values!B22</f>
        <v/>
      </c>
    </row>
    <row r="23">
      <c r="A23" s="1">
        <f>Target_Values!A23</f>
        <v/>
      </c>
      <c r="B23" s="1">
        <f>Target_Values!B23</f>
        <v/>
      </c>
    </row>
    <row r="24">
      <c r="A24" s="1">
        <f>Target_Values!A24</f>
        <v/>
      </c>
      <c r="B24" s="1">
        <f>Target_Values!B24</f>
        <v/>
      </c>
    </row>
    <row r="25">
      <c r="A25" s="1">
        <f>Target_Values!A25</f>
        <v/>
      </c>
      <c r="B25" s="1">
        <f>Target_Values!B25</f>
        <v/>
      </c>
    </row>
  </sheetData>
  <conditionalFormatting sqref="C2:Z25">
    <cfRule type="expression" priority="1" dxfId="0">
      <formula>AND(C2=$B2, NOT(ISBLANK(C2)), NOT(ISBLANK($B2)))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10" defaultColWidth="9.140625" defaultRowHeight="15"/>
  <cols>
    <col width="35" customWidth="1" min="1" max="1"/>
    <col width="30" customWidth="1" min="2" max="2"/>
  </cols>
  <sheetData>
    <row r="1">
      <c r="A1" s="1">
        <f>Target_Values!A1</f>
        <v/>
      </c>
      <c r="B1" s="1">
        <f>Target_Values!B1</f>
        <v/>
      </c>
    </row>
    <row r="2">
      <c r="A2" s="1">
        <f>Target_Values!A2</f>
        <v/>
      </c>
      <c r="B2" s="1">
        <f>Target_Values!B2</f>
        <v/>
      </c>
    </row>
    <row r="3">
      <c r="A3" s="1">
        <f>Target_Values!A3</f>
        <v/>
      </c>
      <c r="B3" s="1">
        <f>Target_Values!B3</f>
        <v/>
      </c>
    </row>
    <row r="4">
      <c r="A4" s="1">
        <f>Target_Values!A4</f>
        <v/>
      </c>
      <c r="B4" s="1">
        <f>Target_Values!B4</f>
        <v/>
      </c>
    </row>
    <row r="5">
      <c r="A5" s="1">
        <f>Target_Values!A5</f>
        <v/>
      </c>
      <c r="B5" s="1">
        <f>Target_Values!B5</f>
        <v/>
      </c>
    </row>
    <row r="6">
      <c r="A6" s="1">
        <f>Target_Values!A6</f>
        <v/>
      </c>
      <c r="B6" s="1">
        <f>Target_Values!B6</f>
        <v/>
      </c>
    </row>
    <row r="7">
      <c r="A7" s="1">
        <f>Target_Values!A7</f>
        <v/>
      </c>
      <c r="B7" s="1">
        <f>Target_Values!B7</f>
        <v/>
      </c>
    </row>
    <row r="8">
      <c r="A8" s="1">
        <f>Target_Values!A8</f>
        <v/>
      </c>
      <c r="B8" s="1">
        <f>Target_Values!B8</f>
        <v/>
      </c>
    </row>
    <row r="9">
      <c r="A9" s="1">
        <f>Target_Values!A9</f>
        <v/>
      </c>
      <c r="B9" s="1">
        <f>Target_Values!B11</f>
        <v/>
      </c>
    </row>
    <row r="10">
      <c r="A10" s="1">
        <f>Target_Values!A10</f>
        <v/>
      </c>
      <c r="B10" s="1">
        <f>Target_Values!B10</f>
        <v/>
      </c>
    </row>
    <row r="11">
      <c r="A11" s="1">
        <f>Target_Values!A11</f>
        <v/>
      </c>
      <c r="B11" s="1">
        <f>Target_Values!#REF!</f>
        <v/>
      </c>
    </row>
    <row r="12">
      <c r="A12" s="1">
        <f>Target_Values!A12</f>
        <v/>
      </c>
      <c r="B12" s="1">
        <f>Target_Values!B12</f>
        <v/>
      </c>
    </row>
    <row r="13">
      <c r="A13" s="1">
        <f>Target_Values!A13</f>
        <v/>
      </c>
      <c r="B13" s="1">
        <f>Target_Values!B13</f>
        <v/>
      </c>
    </row>
    <row r="14">
      <c r="A14" s="1">
        <f>Target_Values!A14</f>
        <v/>
      </c>
      <c r="B14" s="1">
        <f>Target_Values!B14</f>
        <v/>
      </c>
    </row>
    <row r="15">
      <c r="A15" s="1">
        <f>Target_Values!A15</f>
        <v/>
      </c>
      <c r="B15" s="1">
        <f>Target_Values!B15</f>
        <v/>
      </c>
    </row>
    <row r="16">
      <c r="A16" s="1">
        <f>Target_Values!A16</f>
        <v/>
      </c>
      <c r="B16" s="1">
        <f>Target_Values!B16</f>
        <v/>
      </c>
    </row>
    <row r="17">
      <c r="A17" s="1">
        <f>Target_Values!A17</f>
        <v/>
      </c>
      <c r="B17" s="1">
        <f>Target_Values!B17</f>
        <v/>
      </c>
    </row>
    <row r="18">
      <c r="A18" s="1">
        <f>Target_Values!A18</f>
        <v/>
      </c>
      <c r="B18" s="1">
        <f>Target_Values!B18</f>
        <v/>
      </c>
    </row>
    <row r="19">
      <c r="A19" s="1">
        <f>Target_Values!A19</f>
        <v/>
      </c>
      <c r="B19" s="1">
        <f>Target_Values!B19</f>
        <v/>
      </c>
    </row>
    <row r="20">
      <c r="A20" s="1">
        <f>Target_Values!A20</f>
        <v/>
      </c>
      <c r="B20" s="1">
        <f>Target_Values!B20</f>
        <v/>
      </c>
    </row>
    <row r="21">
      <c r="A21" s="1">
        <f>Target_Values!A21</f>
        <v/>
      </c>
      <c r="B21" s="1">
        <f>Target_Values!B21</f>
        <v/>
      </c>
    </row>
    <row r="22">
      <c r="A22" s="1">
        <f>Target_Values!A22</f>
        <v/>
      </c>
      <c r="B22" s="1">
        <f>Target_Values!B22</f>
        <v/>
      </c>
    </row>
    <row r="23">
      <c r="A23" s="1">
        <f>Target_Values!A23</f>
        <v/>
      </c>
      <c r="B23" s="1">
        <f>Target_Values!B23</f>
        <v/>
      </c>
    </row>
    <row r="24">
      <c r="A24" s="1">
        <f>Target_Values!A24</f>
        <v/>
      </c>
      <c r="B24" s="1">
        <f>Target_Values!B24</f>
        <v/>
      </c>
    </row>
    <row r="25">
      <c r="A25" s="1">
        <f>Target_Values!A25</f>
        <v/>
      </c>
      <c r="B25" s="1">
        <f>Target_Values!B25</f>
        <v/>
      </c>
    </row>
  </sheetData>
  <conditionalFormatting sqref="C2:Z25">
    <cfRule type="expression" priority="1" dxfId="0">
      <formula>AND(C2=$B2, NOT(ISBLANK(C2)), NOT(ISBLANK($B2)))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10" defaultColWidth="9.140625" defaultRowHeight="15"/>
  <cols>
    <col width="35" customWidth="1" min="1" max="1"/>
    <col width="30" customWidth="1" min="2" max="2"/>
  </cols>
  <sheetData>
    <row r="1">
      <c r="A1" s="1">
        <f>Target_Values!A1</f>
        <v/>
      </c>
      <c r="B1" s="1">
        <f>Target_Values!B1</f>
        <v/>
      </c>
    </row>
    <row r="2">
      <c r="A2" s="1">
        <f>Target_Values!A2</f>
        <v/>
      </c>
      <c r="B2" s="1">
        <f>Target_Values!B2</f>
        <v/>
      </c>
    </row>
    <row r="3">
      <c r="A3" s="1">
        <f>Target_Values!A3</f>
        <v/>
      </c>
      <c r="B3" s="1">
        <f>Target_Values!B3</f>
        <v/>
      </c>
    </row>
    <row r="4">
      <c r="A4" s="1">
        <f>Target_Values!A4</f>
        <v/>
      </c>
      <c r="B4" s="1">
        <f>Target_Values!B4</f>
        <v/>
      </c>
    </row>
    <row r="5">
      <c r="A5" s="1">
        <f>Target_Values!A5</f>
        <v/>
      </c>
      <c r="B5" s="1">
        <f>Target_Values!B5</f>
        <v/>
      </c>
    </row>
    <row r="6">
      <c r="A6" s="1">
        <f>Target_Values!A6</f>
        <v/>
      </c>
      <c r="B6" s="1">
        <f>Target_Values!B6</f>
        <v/>
      </c>
    </row>
    <row r="7">
      <c r="A7" s="1">
        <f>Target_Values!A7</f>
        <v/>
      </c>
      <c r="B7" s="1">
        <f>Target_Values!B7</f>
        <v/>
      </c>
    </row>
    <row r="8">
      <c r="A8" s="1">
        <f>Target_Values!A8</f>
        <v/>
      </c>
      <c r="B8" s="1">
        <f>Target_Values!B8</f>
        <v/>
      </c>
    </row>
    <row r="9">
      <c r="A9" s="1">
        <f>Target_Values!A9</f>
        <v/>
      </c>
      <c r="B9" s="1">
        <f>Target_Values!B11</f>
        <v/>
      </c>
    </row>
    <row r="10">
      <c r="A10" s="1">
        <f>Target_Values!A10</f>
        <v/>
      </c>
      <c r="B10" s="1">
        <f>Target_Values!B10</f>
        <v/>
      </c>
    </row>
    <row r="11">
      <c r="A11" s="1">
        <f>Target_Values!A11</f>
        <v/>
      </c>
      <c r="B11" s="1">
        <f>Target_Values!#REF!</f>
        <v/>
      </c>
    </row>
    <row r="12">
      <c r="A12" s="1">
        <f>Target_Values!A12</f>
        <v/>
      </c>
      <c r="B12" s="1">
        <f>Target_Values!B12</f>
        <v/>
      </c>
    </row>
    <row r="13">
      <c r="A13" s="1">
        <f>Target_Values!A13</f>
        <v/>
      </c>
      <c r="B13" s="1">
        <f>Target_Values!B13</f>
        <v/>
      </c>
    </row>
    <row r="14">
      <c r="A14" s="1">
        <f>Target_Values!A14</f>
        <v/>
      </c>
      <c r="B14" s="1">
        <f>Target_Values!B14</f>
        <v/>
      </c>
    </row>
    <row r="15">
      <c r="A15" s="1">
        <f>Target_Values!A15</f>
        <v/>
      </c>
      <c r="B15" s="1">
        <f>Target_Values!B15</f>
        <v/>
      </c>
    </row>
    <row r="16">
      <c r="A16" s="1">
        <f>Target_Values!A16</f>
        <v/>
      </c>
      <c r="B16" s="1">
        <f>Target_Values!B16</f>
        <v/>
      </c>
    </row>
    <row r="17">
      <c r="A17" s="1">
        <f>Target_Values!A17</f>
        <v/>
      </c>
      <c r="B17" s="1">
        <f>Target_Values!B17</f>
        <v/>
      </c>
    </row>
    <row r="18">
      <c r="A18" s="1">
        <f>Target_Values!A18</f>
        <v/>
      </c>
      <c r="B18" s="1">
        <f>Target_Values!B18</f>
        <v/>
      </c>
    </row>
    <row r="19">
      <c r="A19" s="1">
        <f>Target_Values!A19</f>
        <v/>
      </c>
      <c r="B19" s="1">
        <f>Target_Values!B19</f>
        <v/>
      </c>
    </row>
    <row r="20">
      <c r="A20" s="1">
        <f>Target_Values!A20</f>
        <v/>
      </c>
      <c r="B20" s="1">
        <f>Target_Values!B20</f>
        <v/>
      </c>
    </row>
    <row r="21">
      <c r="A21" s="1">
        <f>Target_Values!A21</f>
        <v/>
      </c>
      <c r="B21" s="1">
        <f>Target_Values!B21</f>
        <v/>
      </c>
    </row>
    <row r="22">
      <c r="A22" s="1">
        <f>Target_Values!A22</f>
        <v/>
      </c>
      <c r="B22" s="1">
        <f>Target_Values!B22</f>
        <v/>
      </c>
    </row>
    <row r="23">
      <c r="A23" s="1">
        <f>Target_Values!A23</f>
        <v/>
      </c>
      <c r="B23" s="1">
        <f>Target_Values!B23</f>
        <v/>
      </c>
    </row>
    <row r="24">
      <c r="A24" s="1">
        <f>Target_Values!A24</f>
        <v/>
      </c>
      <c r="B24" s="1">
        <f>Target_Values!B24</f>
        <v/>
      </c>
    </row>
    <row r="25">
      <c r="A25" s="1">
        <f>Target_Values!A25</f>
        <v/>
      </c>
      <c r="B25" s="1">
        <f>Target_Values!B25</f>
        <v/>
      </c>
    </row>
  </sheetData>
  <conditionalFormatting sqref="C2:Z25">
    <cfRule type="expression" priority="1" dxfId="0">
      <formula>AND(C2=$B2, NOT(ISBLANK(C2)), NOT(ISBLANK($B2)))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10" defaultColWidth="9.140625" defaultRowHeight="15"/>
  <cols>
    <col width="35" customWidth="1" min="1" max="1"/>
    <col width="30" customWidth="1" min="2" max="2"/>
  </cols>
  <sheetData>
    <row r="1">
      <c r="A1" s="1">
        <f>Target_Values!A1</f>
        <v/>
      </c>
      <c r="B1" s="1">
        <f>Target_Values!B1</f>
        <v/>
      </c>
    </row>
    <row r="2">
      <c r="A2" s="1">
        <f>Target_Values!A2</f>
        <v/>
      </c>
      <c r="B2" s="1">
        <f>Target_Values!B2</f>
        <v/>
      </c>
    </row>
    <row r="3">
      <c r="A3" s="1">
        <f>Target_Values!A3</f>
        <v/>
      </c>
      <c r="B3" s="1">
        <f>Target_Values!B3</f>
        <v/>
      </c>
    </row>
    <row r="4">
      <c r="A4" s="1">
        <f>Target_Values!A4</f>
        <v/>
      </c>
      <c r="B4" s="1">
        <f>Target_Values!B4</f>
        <v/>
      </c>
    </row>
    <row r="5">
      <c r="A5" s="1">
        <f>Target_Values!A5</f>
        <v/>
      </c>
      <c r="B5" s="1">
        <f>Target_Values!B5</f>
        <v/>
      </c>
    </row>
    <row r="6">
      <c r="A6" s="1">
        <f>Target_Values!A6</f>
        <v/>
      </c>
      <c r="B6" s="1">
        <f>Target_Values!B6</f>
        <v/>
      </c>
    </row>
    <row r="7">
      <c r="A7" s="1">
        <f>Target_Values!A7</f>
        <v/>
      </c>
      <c r="B7" s="1">
        <f>Target_Values!B7</f>
        <v/>
      </c>
    </row>
    <row r="8">
      <c r="A8" s="1">
        <f>Target_Values!A8</f>
        <v/>
      </c>
      <c r="B8" s="1">
        <f>Target_Values!B8</f>
        <v/>
      </c>
    </row>
    <row r="9">
      <c r="A9" s="1">
        <f>Target_Values!A9</f>
        <v/>
      </c>
      <c r="B9" s="1">
        <f>Target_Values!B11</f>
        <v/>
      </c>
    </row>
    <row r="10">
      <c r="A10" s="1">
        <f>Target_Values!A10</f>
        <v/>
      </c>
      <c r="B10" s="1">
        <f>Target_Values!B10</f>
        <v/>
      </c>
    </row>
    <row r="11">
      <c r="A11" s="1">
        <f>Target_Values!A11</f>
        <v/>
      </c>
      <c r="B11" s="1">
        <f>Target_Values!#REF!</f>
        <v/>
      </c>
    </row>
    <row r="12">
      <c r="A12" s="1">
        <f>Target_Values!A12</f>
        <v/>
      </c>
      <c r="B12" s="1">
        <f>Target_Values!B12</f>
        <v/>
      </c>
    </row>
    <row r="13">
      <c r="A13" s="1">
        <f>Target_Values!A13</f>
        <v/>
      </c>
      <c r="B13" s="1">
        <f>Target_Values!B13</f>
        <v/>
      </c>
    </row>
    <row r="14">
      <c r="A14" s="1">
        <f>Target_Values!A14</f>
        <v/>
      </c>
      <c r="B14" s="1">
        <f>Target_Values!B14</f>
        <v/>
      </c>
    </row>
    <row r="15">
      <c r="A15" s="1">
        <f>Target_Values!A15</f>
        <v/>
      </c>
      <c r="B15" s="1">
        <f>Target_Values!B15</f>
        <v/>
      </c>
    </row>
    <row r="16">
      <c r="A16" s="1">
        <f>Target_Values!A16</f>
        <v/>
      </c>
      <c r="B16" s="1">
        <f>Target_Values!B16</f>
        <v/>
      </c>
    </row>
    <row r="17">
      <c r="A17" s="1">
        <f>Target_Values!A17</f>
        <v/>
      </c>
      <c r="B17" s="1">
        <f>Target_Values!B17</f>
        <v/>
      </c>
    </row>
    <row r="18">
      <c r="A18" s="1">
        <f>Target_Values!A18</f>
        <v/>
      </c>
      <c r="B18" s="1">
        <f>Target_Values!B18</f>
        <v/>
      </c>
    </row>
    <row r="19">
      <c r="A19" s="1">
        <f>Target_Values!A19</f>
        <v/>
      </c>
      <c r="B19" s="1">
        <f>Target_Values!B19</f>
        <v/>
      </c>
    </row>
    <row r="20">
      <c r="A20" s="1">
        <f>Target_Values!A20</f>
        <v/>
      </c>
      <c r="B20" s="1">
        <f>Target_Values!B20</f>
        <v/>
      </c>
    </row>
    <row r="21">
      <c r="A21" s="1">
        <f>Target_Values!A21</f>
        <v/>
      </c>
      <c r="B21" s="1">
        <f>Target_Values!B21</f>
        <v/>
      </c>
    </row>
    <row r="22">
      <c r="A22" s="1">
        <f>Target_Values!A22</f>
        <v/>
      </c>
      <c r="B22" s="1">
        <f>Target_Values!B22</f>
        <v/>
      </c>
    </row>
    <row r="23">
      <c r="A23" s="1">
        <f>Target_Values!A23</f>
        <v/>
      </c>
      <c r="B23" s="1">
        <f>Target_Values!B23</f>
        <v/>
      </c>
    </row>
    <row r="24">
      <c r="A24" s="1">
        <f>Target_Values!A24</f>
        <v/>
      </c>
      <c r="B24" s="1">
        <f>Target_Values!B24</f>
        <v/>
      </c>
    </row>
    <row r="25">
      <c r="A25" s="1">
        <f>Target_Values!A25</f>
        <v/>
      </c>
      <c r="B25" s="1">
        <f>Target_Values!B25</f>
        <v/>
      </c>
    </row>
  </sheetData>
  <conditionalFormatting sqref="C2:Z25">
    <cfRule type="expression" priority="1" dxfId="0">
      <formula>AND(C2=$B2, NOT(ISBLANK(C2)), NOT(ISBLANK($B2)))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2025-11-19T21:34:41Z</dcterms:created>
  <dcterms:modified xmlns:dcterms="http://purl.org/dc/terms/" xmlns:xsi="http://www.w3.org/2001/XMLSchema-instance" xsi:type="dcterms:W3CDTF">2025-11-27T20:20:03Z</dcterms:modified>
  <cp:lastModifiedBy>Robin Jauß</cp:lastModifiedBy>
</cp:coreProperties>
</file>