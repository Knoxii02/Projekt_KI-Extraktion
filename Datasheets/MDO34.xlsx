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cb3f6eeceb65200/Documents/Albstadt/5Semester/Extraktion_aus_Datenblättern_mit_KI/Projekt_Extraktion/Datasheets/"/>
    </mc:Choice>
  </mc:AlternateContent>
  <xr:revisionPtr revIDLastSave="23" documentId="11_11C9E8F28FAAC3E2ADEAFEE73220F989553076FA" xr6:coauthVersionLast="47" xr6:coauthVersionMax="47" xr10:uidLastSave="{A67CAB7B-E2E2-4763-90BA-22823492920C}"/>
  <bookViews>
    <workbookView xWindow="-120" yWindow="-120" windowWidth="26160" windowHeight="15720" xr2:uid="{00000000-000D-0000-FFFF-FFFF00000000}"/>
  </bookViews>
  <sheets>
    <sheet name="Target_Values" sheetId="1" r:id="rId1"/>
    <sheet name="Gemini-3-thinking" sheetId="2" r:id="rId2"/>
    <sheet name="Deepseek" sheetId="3" r:id="rId3"/>
    <sheet name="Sonnet-4.5" sheetId="4" r:id="rId4"/>
    <sheet name="chatGPT-5.1" sheetId="5" r:id="rId5"/>
    <sheet name="chatGPT-4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6" l="1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B2" i="6"/>
  <c r="A2" i="6"/>
  <c r="B1" i="6"/>
  <c r="A1" i="6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B1" i="5"/>
  <c r="A1" i="5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A1" i="4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A1" i="3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1" i="2"/>
  <c r="A1" i="2"/>
</calcChain>
</file>

<file path=xl/sharedStrings.xml><?xml version="1.0" encoding="utf-8"?>
<sst xmlns="http://schemas.openxmlformats.org/spreadsheetml/2006/main" count="53" uniqueCount="44">
  <si>
    <t>Versuch</t>
  </si>
  <si>
    <t>Target Value</t>
  </si>
  <si>
    <t>Modell</t>
  </si>
  <si>
    <t>Bandbreite</t>
  </si>
  <si>
    <t>Anzahl Kanäle</t>
  </si>
  <si>
    <t>Samplerate</t>
  </si>
  <si>
    <t>Speichertiefe</t>
  </si>
  <si>
    <t>Triggerarten</t>
  </si>
  <si>
    <t>Vertikale Auflösung</t>
  </si>
  <si>
    <t>Anzahl Digitalkanäle</t>
  </si>
  <si>
    <t>Bildschirmgröße</t>
  </si>
  <si>
    <t>Bildschirmtyp.pixel</t>
  </si>
  <si>
    <t>Bildschirmtyp.screen_type</t>
  </si>
  <si>
    <t>Schnittstellen.relevant_interfaces</t>
  </si>
  <si>
    <t>Schnittstellen.optionale_interfaces</t>
  </si>
  <si>
    <t>unterstützende serielle Busse</t>
  </si>
  <si>
    <t>Signalerfassungsrate</t>
  </si>
  <si>
    <t>segmentierbarer Speicher</t>
  </si>
  <si>
    <t>Funktionsgenerator</t>
  </si>
  <si>
    <t>DVM</t>
  </si>
  <si>
    <t>Counter</t>
  </si>
  <si>
    <t>Besonderheiten</t>
  </si>
  <si>
    <t>Abmessungen (L x B x H) (mm)</t>
  </si>
  <si>
    <t>Gewicht (kg)</t>
  </si>
  <si>
    <t>Garantie (Jahre)</t>
  </si>
  <si>
    <t>Artikelnummer</t>
  </si>
  <si>
    <t>MDO34</t>
  </si>
  <si>
    <t>1 GHz, 100 MHz, 200 MHz, 350 MHz, 500 MHz</t>
  </si>
  <si>
    <t>Edge, Logic, Pulse Width, Rise/Fall Time, Runt, Sequence, Setup and Hold, Timeout, Video</t>
  </si>
  <si>
    <t>1920, 1080</t>
  </si>
  <si>
    <t>TFT LCD with capacitive touch</t>
  </si>
  <si>
    <t>HDMI, LAN (RJ-45), USB 2.0 Device, USB 2.0 Host</t>
  </si>
  <si>
    <t>GPIB</t>
  </si>
  <si>
    <t>ARINC429, CAN, CAN FD, FlexRay, I2C, I2S, LIN, LJ, MIL-STD-1553, RJ, RS-232/422/485/UART, SENT, SPI, TDM, USB 2.0</t>
  </si>
  <si>
    <t>Optional</t>
  </si>
  <si>
    <t>Yes</t>
  </si>
  <si>
    <t>Integrated hardware-based spectrum analyzer, 11.6-inch HD capacitive touch display, TekVPI probe interface</t>
  </si>
  <si>
    <t>148.6, 370, 252</t>
  </si>
  <si>
    <t>{
  "Modell": {
    "value": "MDO34",
    "source_page": 30,
    "source_region": "MDO34 Mixed Domain Oscilloscope with (4) analog channels",
    "confidence": "high"
  },
  "Bandbreite": {
    "value": [
      "100 MHz",
      "200 MHz",
      "350 MHz",
      "500 MHz",
      "1 GHz"
    ],
    "unit": "MHz",
    "source_page": 13,
    "source_region": "Analog channel bandwidth 100 MHz 200 MHz 350 MHz 500 MHz 1 GHz",
    "confidence": "high"
  },
  "Anzahl Kanäle": {
    "value": 4,
    "source_page": 30,
    "source_region": "MDO34 Mixed Domain Oscilloscope with (4) analog channels",
    "confidence": "high"
  },
  "Samplerate": {
    "value": 5,
    "unit": "GSa/s",
    "source_page": 13,
    "source_region": "Sample rate (1 ch) 2.5 GS/s ... 5 GS/s",
    "confidence": "high"
  },
  "Speichertiefe": {
    "value": 10,
    "unit": "Mpts",
    "source_page": 13,
    "source_region": "Record length (1 ch) 10 M",
    "confidence": "high"
  },
  "Triggerarten": {
    "value": [
      "Edge",
      "Sequence",
      "Pulse Width",
      "Timeout",
      "Runt",
      "Logic",
      "Setup and Hold",
      "Rise/Fall Time",
      "Video"
    ],
    "source_page": 16,
    "source_region": "Trigger types Edge Sequence (B-trigger) Pulse Width Timeout Runt Logic Setup and Hold Rise/Fall Time Video",
    "confidence": "high"
  },
  "Vertikale Auflösung": {
    "value": 8,
    "unit": "bit",
    "source_page": 14,
    "source_region": "Vertical resolution 8 bits (11 bits with Hi Res)",
    "confidence": "high"
  },
  "Anzahl Digitalkanäle": {
    "value": 16,
    "source_page": 13,
    "source_region": "Digital channels with 3-MSO option 16",
    "confidence": "high"
  },
  "Bildschirmgröße": {
    "value": 29.5,
    "unit": "cm",
    "source_page": 26,
    "source_region": "Display type 11.6 in. (295 mm)",
    "confidence": "high"
  },
  "Bildschirmtyp": {
    "pixel": {
      "value": [
        1920,
        1080
      ],
      "unit": "pixels",
      "source_page": 26,
      "source_region": "Display resolution 1920 horizontal x 1080 vertical HD",
      "confidence": "high"
    },
    "screen_type": {
      "value": "TFT LCD with capacitive touch",
      "source_page": 26,
      "source_region": "Display type 11.6 in. (295 mm) TFT LCD with capacitive touch",
      "confidence": "high"
    }
  },
  "Schnittstellen": {
    "relevant_interfaces": {
      "value": [
        "USB 2.0 Host",
        "USB 2.0 Device",
        "LAN (RJ-45)",
        "HDMI"
      ],
      "source_page": 27,
      "source_region": "Input/output ports USB 2.0 high-speed host port ... USB 2.0 device port ... LAN port RJ45 connector ... HDMI port",
      "confidence": "high"
    },
    "optionale_interfaces": {
      "value": [
        "GPIB"
      ],
      "source_page": 27,
      "source_region": "Rear-panel connector allows for communication/control of oscilloscope through USBTMC or GPIB (with a TEK-USB-488)",
      "confidence": "high"
    }
  },
  "unterstützende serielle Busse": {
    "value": [
      "I2C",
      "SPI",
      "RS-232/422/485/UART",
      "USB 2.0",
      "CAN",
      "CAN FD",
      "LIN",
      "FlexRay",
      "SENT",
      "MIL-STD-1553",
      "ARINC429",
      "I2S",
      "LJ",
      "RJ",
      "TDM"
    ],
    "source_page": 10,
    "source_region": "Serial bus support for I2C, SPI, RS-232/422/485/UART, USB 2.0, CAN, CAN FD, LIN, FlexRay, SENT (decode only), MIL-STD-1553, ARINC429, and Audio standards",
    "confidence": "high"
  },
  "Signalerfassungsrate": {
    "value": 280000,
    "unit": "wfms/s",
    "source_page": 27,
    "source_region": "&gt;280,000 wfms/s in FastAcq acquisition mode on 1 GHz models",
    "confidence": "high"
  },
  "segmentierbarer Speicher": {
    "value": null,
    "source_page": null,
    "source_region": "Nicht gefunden",
    "confidence": "low"
  },
  "Funktionsgenerator": {
    "value": "Optional",
    "source_page": 1,
    "source_region": "Arbitrary Function Generator (optional)",
    "confidence": "high"
  },
  "DVM": {
    "value": "Yes",
    "source_page": 25,
    "source_region": "Digital Voltmeter (DVM) ... Free with product registration",
    "confidence": "high"
  },
  "Counter": {
    "value": "Yes",
    "source_page": 25,
    "source_region": "Frequency Counter ... Free with product registration",
    "confidence": "high"
  },
  "Besonderheiten": {
    "value": "Integrated hardware-based spectrum analyzer, 11.6-inch HD capacitive touch display, TekVPI probe interface",
    "source_page": 7,
    "source_region": "Unique built-in Spectrum Analyzer ... integrated, hardware-based spectrum analyzer",
    "confidence": "high"
  },
  "Abmessungen (L x B x H) (mm)": {
    "value": [
      148.6,
      370,
      252
    ],
    "unit": "mm",
    "source_page": 28,
    "source_region": "Height 252 mm (9.93 in.) Width 370 mm (14.57 in.) Depth 148.6 mm (5.85 in.)",
    "confidence": "high"
  },
  "Gewicht (kg)": {
    "value": 5.31,
    "unit": "kg",
    "source_page": 28,
    "source_region": "Net MDO34 1GHz: 11.7 lbs (5.31 kg)",
    "confidence": "high"
  },
  "Garantie (Jahre)": {
    "value": 3,
    "unit": "Jahre",
    "source_page": 30,
    "source_region": "Three-year warranty covering all parts and labor on the 3 Series MDO instrument",
    "confidence": "high"
  },
  "Artikelnummer": {
    "value": "MDO34",
    "source_page": 30,
    "source_region": "MDO34 Mixed Domain Oscilloscope with (4) analog channels",
    "confidence": "high"
  }
}</t>
  </si>
  <si>
    <t>HD Touchscreen</t>
  </si>
  <si>
    <t>USB, LAN</t>
  </si>
  <si>
    <t>Bandbreitenupgrade auf bis zu 1 GHz, 1 GHz Spectrum Analyzer</t>
  </si>
  <si>
    <t>Optional: I²C, SPI, RS-232/422/485/UART, USB 2.0, CAN, CAN FD, LIN, FlexRay, MIL-STD-1553, ARINC429, I²S, LJ, RJ, TDM</t>
  </si>
  <si>
    <t>Edge, Sequence (B-trigger), Pulse Width, Timeout, Runt, Logic, Setup and Hold, Rise/Fall Time, Video
Optional: Parallel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</si>
</sst>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Standard" xfId="0" builtinId="0"/>
  </cellStyles>
  <dxfs count="5"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  <dxf>
      <fill>
        <patternFill patternType="solid">
          <fgColor rgb="FF9AE383"/>
          <bgColor rgb="FF9AE38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t="s">
        <v>26</v>
      </c>
    </row>
    <row r="3" spans="1:2" x14ac:dyDescent="0.25">
      <c r="A3" s="1" t="s">
        <v>3</v>
      </c>
    </row>
    <row r="4" spans="1:2" x14ac:dyDescent="0.25">
      <c r="A4" s="1" t="s">
        <v>4</v>
      </c>
      <c r="B4">
        <v>4</v>
      </c>
    </row>
    <row r="5" spans="1:2" x14ac:dyDescent="0.25">
      <c r="A5" s="1" t="s">
        <v>5</v>
      </c>
      <c r="B5">
        <v>5</v>
      </c>
    </row>
    <row r="6" spans="1:2" x14ac:dyDescent="0.25">
      <c r="A6" s="1" t="s">
        <v>6</v>
      </c>
      <c r="B6">
        <v>10</v>
      </c>
    </row>
    <row r="7" spans="1:2" ht="75" x14ac:dyDescent="0.25">
      <c r="A7" s="1" t="s">
        <v>7</v>
      </c>
      <c r="B7" s="4" t="s">
        <v>43</v>
      </c>
    </row>
    <row r="8" spans="1:2" x14ac:dyDescent="0.25">
      <c r="A8" s="1" t="s">
        <v>8</v>
      </c>
      <c r="B8">
        <v>8</v>
      </c>
    </row>
    <row r="9" spans="1:2" x14ac:dyDescent="0.25">
      <c r="A9" s="1" t="s">
        <v>9</v>
      </c>
    </row>
    <row r="10" spans="1:2" x14ac:dyDescent="0.25">
      <c r="A10" s="1" t="s">
        <v>10</v>
      </c>
      <c r="B10">
        <v>29.5</v>
      </c>
    </row>
    <row r="11" spans="1:2" x14ac:dyDescent="0.25">
      <c r="A11" s="1" t="s">
        <v>11</v>
      </c>
      <c r="B11" t="s">
        <v>29</v>
      </c>
    </row>
    <row r="12" spans="1:2" x14ac:dyDescent="0.25">
      <c r="A12" s="1" t="s">
        <v>12</v>
      </c>
      <c r="B12" t="s">
        <v>39</v>
      </c>
    </row>
    <row r="13" spans="1:2" x14ac:dyDescent="0.25">
      <c r="A13" s="1" t="s">
        <v>13</v>
      </c>
      <c r="B13" t="s">
        <v>40</v>
      </c>
    </row>
    <row r="14" spans="1:2" x14ac:dyDescent="0.25">
      <c r="A14" s="1" t="s">
        <v>14</v>
      </c>
    </row>
    <row r="15" spans="1:2" ht="75" x14ac:dyDescent="0.25">
      <c r="A15" s="1" t="s">
        <v>15</v>
      </c>
      <c r="B15" s="4" t="s">
        <v>42</v>
      </c>
    </row>
    <row r="16" spans="1:2" x14ac:dyDescent="0.25">
      <c r="A16" s="1" t="s">
        <v>16</v>
      </c>
      <c r="B16">
        <v>280000</v>
      </c>
    </row>
    <row r="17" spans="1:2" x14ac:dyDescent="0.25">
      <c r="A17" s="1" t="s">
        <v>17</v>
      </c>
    </row>
    <row r="18" spans="1:2" x14ac:dyDescent="0.25">
      <c r="A18" s="1" t="s">
        <v>18</v>
      </c>
      <c r="B18" t="s">
        <v>34</v>
      </c>
    </row>
    <row r="19" spans="1:2" x14ac:dyDescent="0.25">
      <c r="A19" s="1" t="s">
        <v>19</v>
      </c>
      <c r="B19" t="s">
        <v>35</v>
      </c>
    </row>
    <row r="20" spans="1:2" x14ac:dyDescent="0.25">
      <c r="A20" s="1" t="s">
        <v>20</v>
      </c>
      <c r="B20" t="s">
        <v>35</v>
      </c>
    </row>
    <row r="21" spans="1:2" ht="30" x14ac:dyDescent="0.25">
      <c r="A21" s="1" t="s">
        <v>21</v>
      </c>
      <c r="B21" s="4" t="s">
        <v>41</v>
      </c>
    </row>
    <row r="22" spans="1:2" x14ac:dyDescent="0.25">
      <c r="A22" s="1" t="s">
        <v>22</v>
      </c>
      <c r="B22" t="s">
        <v>37</v>
      </c>
    </row>
    <row r="23" spans="1:2" x14ac:dyDescent="0.25">
      <c r="A23" s="1" t="s">
        <v>23</v>
      </c>
      <c r="B23">
        <v>5.31</v>
      </c>
    </row>
    <row r="24" spans="1:2" x14ac:dyDescent="0.25">
      <c r="A24" s="1" t="s">
        <v>24</v>
      </c>
      <c r="B24">
        <v>3</v>
      </c>
    </row>
    <row r="25" spans="1:2" x14ac:dyDescent="0.25">
      <c r="A25" s="1" t="s">
        <v>25</v>
      </c>
      <c r="B25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baseColWidth="10" defaultColWidth="9.140625" defaultRowHeight="15" x14ac:dyDescent="0.25"/>
  <cols>
    <col min="1" max="1" width="35" customWidth="1"/>
    <col min="2" max="3" width="30" customWidth="1"/>
  </cols>
  <sheetData>
    <row r="1" spans="1:3" x14ac:dyDescent="0.25">
      <c r="A1" s="1" t="str">
        <f>Target_Values!A1</f>
        <v>Versuch</v>
      </c>
      <c r="B1" s="1" t="str">
        <f>Target_Values!B1</f>
        <v>Target Value</v>
      </c>
      <c r="C1" s="1">
        <v>1</v>
      </c>
    </row>
    <row r="2" spans="1:3" x14ac:dyDescent="0.25">
      <c r="A2" s="1" t="str">
        <f>Target_Values!A2</f>
        <v>Modell</v>
      </c>
      <c r="B2" s="1" t="str">
        <f>Target_Values!B2</f>
        <v>MDO34</v>
      </c>
      <c r="C2" s="2" t="s">
        <v>26</v>
      </c>
    </row>
    <row r="3" spans="1:3" ht="30" x14ac:dyDescent="0.25">
      <c r="A3" s="1" t="str">
        <f>Target_Values!A3</f>
        <v>Bandbreite</v>
      </c>
      <c r="B3" s="1">
        <f>Target_Values!B3</f>
        <v>0</v>
      </c>
      <c r="C3" s="3" t="s">
        <v>27</v>
      </c>
    </row>
    <row r="4" spans="1:3" x14ac:dyDescent="0.25">
      <c r="A4" s="1" t="str">
        <f>Target_Values!A4</f>
        <v>Anzahl Kanäle</v>
      </c>
      <c r="B4" s="1">
        <f>Target_Values!B4</f>
        <v>4</v>
      </c>
      <c r="C4" s="2">
        <v>4</v>
      </c>
    </row>
    <row r="5" spans="1:3" x14ac:dyDescent="0.25">
      <c r="A5" s="1" t="str">
        <f>Target_Values!A5</f>
        <v>Samplerate</v>
      </c>
      <c r="B5" s="1">
        <f>Target_Values!B5</f>
        <v>5</v>
      </c>
      <c r="C5" s="2">
        <v>5</v>
      </c>
    </row>
    <row r="6" spans="1:3" x14ac:dyDescent="0.25">
      <c r="A6" s="1" t="str">
        <f>Target_Values!A6</f>
        <v>Speichertiefe</v>
      </c>
      <c r="B6" s="1">
        <f>Target_Values!B6</f>
        <v>10</v>
      </c>
      <c r="C6" s="2">
        <v>10</v>
      </c>
    </row>
    <row r="7" spans="1:3" ht="45" x14ac:dyDescent="0.25">
      <c r="A7" s="1" t="str">
        <f>Target_Values!A7</f>
        <v>Triggerarten</v>
      </c>
      <c r="B7" s="1" t="str">
        <f>Target_Values!B7</f>
        <v>Edge, Sequence (B-trigger), Pulse Width, Timeout, Runt, Logic, Setup and Hold, Rise/Fall Time, Video
Optional: Parallel</v>
      </c>
      <c r="C7" s="3" t="s">
        <v>28</v>
      </c>
    </row>
    <row r="8" spans="1:3" x14ac:dyDescent="0.25">
      <c r="A8" s="1" t="str">
        <f>Target_Values!A8</f>
        <v>Vertikale Auflösung</v>
      </c>
      <c r="B8" s="1">
        <f>Target_Values!B8</f>
        <v>8</v>
      </c>
      <c r="C8" s="2">
        <v>8</v>
      </c>
    </row>
    <row r="9" spans="1:3" x14ac:dyDescent="0.25">
      <c r="A9" s="1" t="str">
        <f>Target_Values!A9</f>
        <v>Anzahl Digitalkanäle</v>
      </c>
      <c r="B9" s="1">
        <f>Target_Values!B9</f>
        <v>0</v>
      </c>
      <c r="C9" s="2">
        <v>16</v>
      </c>
    </row>
    <row r="10" spans="1:3" x14ac:dyDescent="0.25">
      <c r="A10" s="1" t="str">
        <f>Target_Values!A10</f>
        <v>Bildschirmgröße</v>
      </c>
      <c r="B10" s="1">
        <f>Target_Values!B10</f>
        <v>29.5</v>
      </c>
      <c r="C10" s="2">
        <v>29.5</v>
      </c>
    </row>
    <row r="11" spans="1:3" x14ac:dyDescent="0.25">
      <c r="A11" s="1" t="str">
        <f>Target_Values!A11</f>
        <v>Bildschirmtyp.pixel</v>
      </c>
      <c r="B11" s="1" t="str">
        <f>Target_Values!B11</f>
        <v>1920, 1080</v>
      </c>
      <c r="C11" s="3" t="s">
        <v>29</v>
      </c>
    </row>
    <row r="12" spans="1:3" x14ac:dyDescent="0.25">
      <c r="A12" s="1" t="str">
        <f>Target_Values!A12</f>
        <v>Bildschirmtyp.screen_type</v>
      </c>
      <c r="B12" s="1" t="str">
        <f>Target_Values!B12</f>
        <v>HD Touchscreen</v>
      </c>
      <c r="C12" s="2" t="s">
        <v>30</v>
      </c>
    </row>
    <row r="13" spans="1:3" ht="30" x14ac:dyDescent="0.25">
      <c r="A13" s="1" t="str">
        <f>Target_Values!A13</f>
        <v>Schnittstellen.relevant_interfaces</v>
      </c>
      <c r="B13" s="1" t="str">
        <f>Target_Values!B13</f>
        <v>USB, LAN</v>
      </c>
      <c r="C13" s="3" t="s">
        <v>31</v>
      </c>
    </row>
    <row r="14" spans="1:3" x14ac:dyDescent="0.25">
      <c r="A14" s="1" t="str">
        <f>Target_Values!A14</f>
        <v>Schnittstellen.optionale_interfaces</v>
      </c>
      <c r="B14" s="1">
        <f>Target_Values!B14</f>
        <v>0</v>
      </c>
      <c r="C14" s="3" t="s">
        <v>32</v>
      </c>
    </row>
    <row r="15" spans="1:3" ht="75" x14ac:dyDescent="0.25">
      <c r="A15" s="1" t="str">
        <f>Target_Values!A15</f>
        <v>unterstützende serielle Busse</v>
      </c>
      <c r="B15" s="1" t="str">
        <f>Target_Values!B15</f>
        <v>Optional: I²C, SPI, RS-232/422/485/UART, USB 2.0, CAN, CAN FD, LIN, FlexRay, MIL-STD-1553, ARINC429, I²S, LJ, RJ, TDM</v>
      </c>
      <c r="C15" s="3" t="s">
        <v>33</v>
      </c>
    </row>
    <row r="16" spans="1:3" x14ac:dyDescent="0.25">
      <c r="A16" s="1" t="str">
        <f>Target_Values!A16</f>
        <v>Signalerfassungsrate</v>
      </c>
      <c r="B16" s="1">
        <f>Target_Values!B16</f>
        <v>280000</v>
      </c>
      <c r="C16" s="2">
        <v>280000</v>
      </c>
    </row>
    <row r="17" spans="1:3" x14ac:dyDescent="0.25">
      <c r="A17" s="1" t="str">
        <f>Target_Values!A17</f>
        <v>segmentierbarer Speicher</v>
      </c>
      <c r="B17" s="1">
        <f>Target_Values!B17</f>
        <v>0</v>
      </c>
      <c r="C17" s="2"/>
    </row>
    <row r="18" spans="1:3" x14ac:dyDescent="0.25">
      <c r="A18" s="1" t="str">
        <f>Target_Values!A18</f>
        <v>Funktionsgenerator</v>
      </c>
      <c r="B18" s="1" t="str">
        <f>Target_Values!B18</f>
        <v>Optional</v>
      </c>
      <c r="C18" s="2" t="s">
        <v>34</v>
      </c>
    </row>
    <row r="19" spans="1:3" x14ac:dyDescent="0.25">
      <c r="A19" s="1" t="str">
        <f>Target_Values!A19</f>
        <v>DVM</v>
      </c>
      <c r="B19" s="1" t="str">
        <f>Target_Values!B19</f>
        <v>Yes</v>
      </c>
      <c r="C19" s="2" t="s">
        <v>35</v>
      </c>
    </row>
    <row r="20" spans="1:3" x14ac:dyDescent="0.25">
      <c r="A20" s="1" t="str">
        <f>Target_Values!A20</f>
        <v>Counter</v>
      </c>
      <c r="B20" s="1" t="str">
        <f>Target_Values!B20</f>
        <v>Yes</v>
      </c>
      <c r="C20" s="2" t="s">
        <v>35</v>
      </c>
    </row>
    <row r="21" spans="1:3" x14ac:dyDescent="0.25">
      <c r="A21" s="1" t="str">
        <f>Target_Values!A21</f>
        <v>Besonderheiten</v>
      </c>
      <c r="B21" s="1" t="str">
        <f>Target_Values!B21</f>
        <v>Bandbreitenupgrade auf bis zu 1 GHz, 1 GHz Spectrum Analyzer</v>
      </c>
      <c r="C21" s="2" t="s">
        <v>36</v>
      </c>
    </row>
    <row r="22" spans="1:3" x14ac:dyDescent="0.25">
      <c r="A22" s="1" t="str">
        <f>Target_Values!A22</f>
        <v>Abmessungen (L x B x H) (mm)</v>
      </c>
      <c r="B22" s="1" t="str">
        <f>Target_Values!B22</f>
        <v>148.6, 370, 252</v>
      </c>
      <c r="C22" s="3" t="s">
        <v>37</v>
      </c>
    </row>
    <row r="23" spans="1:3" x14ac:dyDescent="0.25">
      <c r="A23" s="1" t="str">
        <f>Target_Values!A23</f>
        <v>Gewicht (kg)</v>
      </c>
      <c r="B23" s="1">
        <f>Target_Values!B23</f>
        <v>5.31</v>
      </c>
      <c r="C23" s="2">
        <v>5.31</v>
      </c>
    </row>
    <row r="24" spans="1:3" x14ac:dyDescent="0.25">
      <c r="A24" s="1" t="str">
        <f>Target_Values!A24</f>
        <v>Garantie (Jahre)</v>
      </c>
      <c r="B24" s="1">
        <f>Target_Values!B24</f>
        <v>3</v>
      </c>
      <c r="C24" s="2">
        <v>3</v>
      </c>
    </row>
    <row r="25" spans="1:3" x14ac:dyDescent="0.25">
      <c r="A25" s="1" t="str">
        <f>Target_Values!A25</f>
        <v>Artikelnummer</v>
      </c>
      <c r="B25" s="1" t="str">
        <f>Target_Values!B25</f>
        <v>MDO34</v>
      </c>
      <c r="C25" s="2" t="s">
        <v>26</v>
      </c>
    </row>
    <row r="30" spans="1:3" ht="409.5" x14ac:dyDescent="0.25">
      <c r="C30" s="3" t="s">
        <v>38</v>
      </c>
    </row>
  </sheetData>
  <conditionalFormatting sqref="C2:Z25">
    <cfRule type="expression" dxfId="4" priority="1">
      <formula>AND(C2=$B2, NOT(ISBLANK(C2)), NOT(ISBLANK($B2)))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tr">
        <f>Target_Values!A1</f>
        <v>Versuch</v>
      </c>
      <c r="B1" s="1" t="str">
        <f>Target_Values!B1</f>
        <v>Target Value</v>
      </c>
    </row>
    <row r="2" spans="1:2" x14ac:dyDescent="0.25">
      <c r="A2" s="1" t="str">
        <f>Target_Values!A2</f>
        <v>Modell</v>
      </c>
      <c r="B2" s="1" t="str">
        <f>Target_Values!B2</f>
        <v>MDO34</v>
      </c>
    </row>
    <row r="3" spans="1:2" x14ac:dyDescent="0.25">
      <c r="A3" s="1" t="str">
        <f>Target_Values!A3</f>
        <v>Bandbreite</v>
      </c>
      <c r="B3" s="1">
        <f>Target_Values!B3</f>
        <v>0</v>
      </c>
    </row>
    <row r="4" spans="1:2" x14ac:dyDescent="0.25">
      <c r="A4" s="1" t="str">
        <f>Target_Values!A4</f>
        <v>Anzahl Kanäle</v>
      </c>
      <c r="B4" s="1">
        <f>Target_Values!B4</f>
        <v>4</v>
      </c>
    </row>
    <row r="5" spans="1:2" x14ac:dyDescent="0.25">
      <c r="A5" s="1" t="str">
        <f>Target_Values!A5</f>
        <v>Samplerate</v>
      </c>
      <c r="B5" s="1">
        <f>Target_Values!B5</f>
        <v>5</v>
      </c>
    </row>
    <row r="6" spans="1:2" x14ac:dyDescent="0.25">
      <c r="A6" s="1" t="str">
        <f>Target_Values!A6</f>
        <v>Speichertiefe</v>
      </c>
      <c r="B6" s="1">
        <f>Target_Values!B6</f>
        <v>10</v>
      </c>
    </row>
    <row r="7" spans="1:2" x14ac:dyDescent="0.25">
      <c r="A7" s="1" t="str">
        <f>Target_Values!A7</f>
        <v>Triggerarten</v>
      </c>
      <c r="B7" s="1" t="str">
        <f>Target_Values!B7</f>
        <v>Edge, Sequence (B-trigger), Pulse Width, Timeout, Runt, Logic, Setup and Hold, Rise/Fall Time, Video
Optional: Parallel</v>
      </c>
    </row>
    <row r="8" spans="1:2" x14ac:dyDescent="0.25">
      <c r="A8" s="1" t="str">
        <f>Target_Values!A8</f>
        <v>Vertikale Auflösung</v>
      </c>
      <c r="B8" s="1">
        <f>Target_Values!B8</f>
        <v>8</v>
      </c>
    </row>
    <row r="9" spans="1:2" x14ac:dyDescent="0.25">
      <c r="A9" s="1" t="str">
        <f>Target_Values!A9</f>
        <v>Anzahl Digitalkanäle</v>
      </c>
      <c r="B9" s="1">
        <f>Target_Values!B9</f>
        <v>0</v>
      </c>
    </row>
    <row r="10" spans="1:2" x14ac:dyDescent="0.25">
      <c r="A10" s="1" t="str">
        <f>Target_Values!A10</f>
        <v>Bildschirmgröße</v>
      </c>
      <c r="B10" s="1">
        <f>Target_Values!B10</f>
        <v>29.5</v>
      </c>
    </row>
    <row r="11" spans="1:2" x14ac:dyDescent="0.25">
      <c r="A11" s="1" t="str">
        <f>Target_Values!A11</f>
        <v>Bildschirmtyp.pixel</v>
      </c>
      <c r="B11" s="1" t="str">
        <f>Target_Values!B11</f>
        <v>1920, 1080</v>
      </c>
    </row>
    <row r="12" spans="1:2" x14ac:dyDescent="0.25">
      <c r="A12" s="1" t="str">
        <f>Target_Values!A12</f>
        <v>Bildschirmtyp.screen_type</v>
      </c>
      <c r="B12" s="1" t="str">
        <f>Target_Values!B12</f>
        <v>HD Touchscreen</v>
      </c>
    </row>
    <row r="13" spans="1:2" x14ac:dyDescent="0.25">
      <c r="A13" s="1" t="str">
        <f>Target_Values!A13</f>
        <v>Schnittstellen.relevant_interfaces</v>
      </c>
      <c r="B13" s="1" t="str">
        <f>Target_Values!B13</f>
        <v>USB, LAN</v>
      </c>
    </row>
    <row r="14" spans="1:2" x14ac:dyDescent="0.25">
      <c r="A14" s="1" t="str">
        <f>Target_Values!A14</f>
        <v>Schnittstellen.optionale_interfaces</v>
      </c>
      <c r="B14" s="1">
        <f>Target_Values!B14</f>
        <v>0</v>
      </c>
    </row>
    <row r="15" spans="1:2" x14ac:dyDescent="0.25">
      <c r="A15" s="1" t="str">
        <f>Target_Values!A15</f>
        <v>unterstützende serielle Busse</v>
      </c>
      <c r="B15" s="1" t="str">
        <f>Target_Values!B15</f>
        <v>Optional: I²C, SPI, RS-232/422/485/UART, USB 2.0, CAN, CAN FD, LIN, FlexRay, MIL-STD-1553, ARINC429, I²S, LJ, RJ, TDM</v>
      </c>
    </row>
    <row r="16" spans="1:2" x14ac:dyDescent="0.25">
      <c r="A16" s="1" t="str">
        <f>Target_Values!A16</f>
        <v>Signalerfassungsrate</v>
      </c>
      <c r="B16" s="1">
        <f>Target_Values!B16</f>
        <v>280000</v>
      </c>
    </row>
    <row r="17" spans="1:2" x14ac:dyDescent="0.25">
      <c r="A17" s="1" t="str">
        <f>Target_Values!A17</f>
        <v>segmentierbarer Speicher</v>
      </c>
      <c r="B17" s="1">
        <f>Target_Values!B17</f>
        <v>0</v>
      </c>
    </row>
    <row r="18" spans="1:2" x14ac:dyDescent="0.25">
      <c r="A18" s="1" t="str">
        <f>Target_Values!A18</f>
        <v>Funktionsgenerator</v>
      </c>
      <c r="B18" s="1" t="str">
        <f>Target_Values!B18</f>
        <v>Optional</v>
      </c>
    </row>
    <row r="19" spans="1:2" x14ac:dyDescent="0.25">
      <c r="A19" s="1" t="str">
        <f>Target_Values!A19</f>
        <v>DVM</v>
      </c>
      <c r="B19" s="1" t="str">
        <f>Target_Values!B19</f>
        <v>Yes</v>
      </c>
    </row>
    <row r="20" spans="1:2" x14ac:dyDescent="0.25">
      <c r="A20" s="1" t="str">
        <f>Target_Values!A20</f>
        <v>Counter</v>
      </c>
      <c r="B20" s="1" t="str">
        <f>Target_Values!B20</f>
        <v>Yes</v>
      </c>
    </row>
    <row r="21" spans="1:2" x14ac:dyDescent="0.25">
      <c r="A21" s="1" t="str">
        <f>Target_Values!A21</f>
        <v>Besonderheiten</v>
      </c>
      <c r="B21" s="1" t="str">
        <f>Target_Values!B21</f>
        <v>Bandbreitenupgrade auf bis zu 1 GHz, 1 GHz Spectrum Analyzer</v>
      </c>
    </row>
    <row r="22" spans="1:2" x14ac:dyDescent="0.25">
      <c r="A22" s="1" t="str">
        <f>Target_Values!A22</f>
        <v>Abmessungen (L x B x H) (mm)</v>
      </c>
      <c r="B22" s="1" t="str">
        <f>Target_Values!B22</f>
        <v>148.6, 370, 252</v>
      </c>
    </row>
    <row r="23" spans="1:2" x14ac:dyDescent="0.25">
      <c r="A23" s="1" t="str">
        <f>Target_Values!A23</f>
        <v>Gewicht (kg)</v>
      </c>
      <c r="B23" s="1">
        <f>Target_Values!B23</f>
        <v>5.31</v>
      </c>
    </row>
    <row r="24" spans="1:2" x14ac:dyDescent="0.25">
      <c r="A24" s="1" t="str">
        <f>Target_Values!A24</f>
        <v>Garantie (Jahre)</v>
      </c>
      <c r="B24" s="1">
        <f>Target_Values!B24</f>
        <v>3</v>
      </c>
    </row>
    <row r="25" spans="1:2" x14ac:dyDescent="0.25">
      <c r="A25" s="1" t="str">
        <f>Target_Values!A25</f>
        <v>Artikelnummer</v>
      </c>
      <c r="B25" s="1" t="str">
        <f>Target_Values!B25</f>
        <v>MDO34</v>
      </c>
    </row>
  </sheetData>
  <conditionalFormatting sqref="C2:Z25">
    <cfRule type="expression" dxfId="3" priority="1">
      <formula>AND(C2=$B2, NOT(ISBLANK(C2)), NOT(ISBLANK($B2)))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/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tr">
        <f>Target_Values!A1</f>
        <v>Versuch</v>
      </c>
      <c r="B1" s="1" t="str">
        <f>Target_Values!B1</f>
        <v>Target Value</v>
      </c>
    </row>
    <row r="2" spans="1:2" x14ac:dyDescent="0.25">
      <c r="A2" s="1" t="str">
        <f>Target_Values!A2</f>
        <v>Modell</v>
      </c>
      <c r="B2" s="1" t="str">
        <f>Target_Values!B2</f>
        <v>MDO34</v>
      </c>
    </row>
    <row r="3" spans="1:2" x14ac:dyDescent="0.25">
      <c r="A3" s="1" t="str">
        <f>Target_Values!A3</f>
        <v>Bandbreite</v>
      </c>
      <c r="B3" s="1">
        <f>Target_Values!B3</f>
        <v>0</v>
      </c>
    </row>
    <row r="4" spans="1:2" x14ac:dyDescent="0.25">
      <c r="A4" s="1" t="str">
        <f>Target_Values!A4</f>
        <v>Anzahl Kanäle</v>
      </c>
      <c r="B4" s="1">
        <f>Target_Values!B4</f>
        <v>4</v>
      </c>
    </row>
    <row r="5" spans="1:2" x14ac:dyDescent="0.25">
      <c r="A5" s="1" t="str">
        <f>Target_Values!A5</f>
        <v>Samplerate</v>
      </c>
      <c r="B5" s="1">
        <f>Target_Values!B5</f>
        <v>5</v>
      </c>
    </row>
    <row r="6" spans="1:2" x14ac:dyDescent="0.25">
      <c r="A6" s="1" t="str">
        <f>Target_Values!A6</f>
        <v>Speichertiefe</v>
      </c>
      <c r="B6" s="1">
        <f>Target_Values!B6</f>
        <v>10</v>
      </c>
    </row>
    <row r="7" spans="1:2" x14ac:dyDescent="0.25">
      <c r="A7" s="1" t="str">
        <f>Target_Values!A7</f>
        <v>Triggerarten</v>
      </c>
      <c r="B7" s="1" t="str">
        <f>Target_Values!B7</f>
        <v>Edge, Sequence (B-trigger), Pulse Width, Timeout, Runt, Logic, Setup and Hold, Rise/Fall Time, Video
Optional: Parallel</v>
      </c>
    </row>
    <row r="8" spans="1:2" x14ac:dyDescent="0.25">
      <c r="A8" s="1" t="str">
        <f>Target_Values!A8</f>
        <v>Vertikale Auflösung</v>
      </c>
      <c r="B8" s="1">
        <f>Target_Values!B8</f>
        <v>8</v>
      </c>
    </row>
    <row r="9" spans="1:2" x14ac:dyDescent="0.25">
      <c r="A9" s="1" t="str">
        <f>Target_Values!A9</f>
        <v>Anzahl Digitalkanäle</v>
      </c>
      <c r="B9" s="1">
        <f>Target_Values!B9</f>
        <v>0</v>
      </c>
    </row>
    <row r="10" spans="1:2" x14ac:dyDescent="0.25">
      <c r="A10" s="1" t="str">
        <f>Target_Values!A10</f>
        <v>Bildschirmgröße</v>
      </c>
      <c r="B10" s="1">
        <f>Target_Values!B10</f>
        <v>29.5</v>
      </c>
    </row>
    <row r="11" spans="1:2" x14ac:dyDescent="0.25">
      <c r="A11" s="1" t="str">
        <f>Target_Values!A11</f>
        <v>Bildschirmtyp.pixel</v>
      </c>
      <c r="B11" s="1" t="str">
        <f>Target_Values!B11</f>
        <v>1920, 1080</v>
      </c>
    </row>
    <row r="12" spans="1:2" x14ac:dyDescent="0.25">
      <c r="A12" s="1" t="str">
        <f>Target_Values!A12</f>
        <v>Bildschirmtyp.screen_type</v>
      </c>
      <c r="B12" s="1" t="str">
        <f>Target_Values!B12</f>
        <v>HD Touchscreen</v>
      </c>
    </row>
    <row r="13" spans="1:2" x14ac:dyDescent="0.25">
      <c r="A13" s="1" t="str">
        <f>Target_Values!A13</f>
        <v>Schnittstellen.relevant_interfaces</v>
      </c>
      <c r="B13" s="1" t="str">
        <f>Target_Values!B13</f>
        <v>USB, LAN</v>
      </c>
    </row>
    <row r="14" spans="1:2" x14ac:dyDescent="0.25">
      <c r="A14" s="1" t="str">
        <f>Target_Values!A14</f>
        <v>Schnittstellen.optionale_interfaces</v>
      </c>
      <c r="B14" s="1">
        <f>Target_Values!B14</f>
        <v>0</v>
      </c>
    </row>
    <row r="15" spans="1:2" x14ac:dyDescent="0.25">
      <c r="A15" s="1" t="str">
        <f>Target_Values!A15</f>
        <v>unterstützende serielle Busse</v>
      </c>
      <c r="B15" s="1" t="str">
        <f>Target_Values!B15</f>
        <v>Optional: I²C, SPI, RS-232/422/485/UART, USB 2.0, CAN, CAN FD, LIN, FlexRay, MIL-STD-1553, ARINC429, I²S, LJ, RJ, TDM</v>
      </c>
    </row>
    <row r="16" spans="1:2" x14ac:dyDescent="0.25">
      <c r="A16" s="1" t="str">
        <f>Target_Values!A16</f>
        <v>Signalerfassungsrate</v>
      </c>
      <c r="B16" s="1">
        <f>Target_Values!B16</f>
        <v>280000</v>
      </c>
    </row>
    <row r="17" spans="1:2" x14ac:dyDescent="0.25">
      <c r="A17" s="1" t="str">
        <f>Target_Values!A17</f>
        <v>segmentierbarer Speicher</v>
      </c>
      <c r="B17" s="1">
        <f>Target_Values!B17</f>
        <v>0</v>
      </c>
    </row>
    <row r="18" spans="1:2" x14ac:dyDescent="0.25">
      <c r="A18" s="1" t="str">
        <f>Target_Values!A18</f>
        <v>Funktionsgenerator</v>
      </c>
      <c r="B18" s="1" t="str">
        <f>Target_Values!B18</f>
        <v>Optional</v>
      </c>
    </row>
    <row r="19" spans="1:2" x14ac:dyDescent="0.25">
      <c r="A19" s="1" t="str">
        <f>Target_Values!A19</f>
        <v>DVM</v>
      </c>
      <c r="B19" s="1" t="str">
        <f>Target_Values!B19</f>
        <v>Yes</v>
      </c>
    </row>
    <row r="20" spans="1:2" x14ac:dyDescent="0.25">
      <c r="A20" s="1" t="str">
        <f>Target_Values!A20</f>
        <v>Counter</v>
      </c>
      <c r="B20" s="1" t="str">
        <f>Target_Values!B20</f>
        <v>Yes</v>
      </c>
    </row>
    <row r="21" spans="1:2" x14ac:dyDescent="0.25">
      <c r="A21" s="1" t="str">
        <f>Target_Values!A21</f>
        <v>Besonderheiten</v>
      </c>
      <c r="B21" s="1" t="str">
        <f>Target_Values!B21</f>
        <v>Bandbreitenupgrade auf bis zu 1 GHz, 1 GHz Spectrum Analyzer</v>
      </c>
    </row>
    <row r="22" spans="1:2" x14ac:dyDescent="0.25">
      <c r="A22" s="1" t="str">
        <f>Target_Values!A22</f>
        <v>Abmessungen (L x B x H) (mm)</v>
      </c>
      <c r="B22" s="1" t="str">
        <f>Target_Values!B22</f>
        <v>148.6, 370, 252</v>
      </c>
    </row>
    <row r="23" spans="1:2" x14ac:dyDescent="0.25">
      <c r="A23" s="1" t="str">
        <f>Target_Values!A23</f>
        <v>Gewicht (kg)</v>
      </c>
      <c r="B23" s="1">
        <f>Target_Values!B23</f>
        <v>5.31</v>
      </c>
    </row>
    <row r="24" spans="1:2" x14ac:dyDescent="0.25">
      <c r="A24" s="1" t="str">
        <f>Target_Values!A24</f>
        <v>Garantie (Jahre)</v>
      </c>
      <c r="B24" s="1">
        <f>Target_Values!B24</f>
        <v>3</v>
      </c>
    </row>
    <row r="25" spans="1:2" x14ac:dyDescent="0.25">
      <c r="A25" s="1" t="str">
        <f>Target_Values!A25</f>
        <v>Artikelnummer</v>
      </c>
      <c r="B25" s="1" t="str">
        <f>Target_Values!B25</f>
        <v>MDO34</v>
      </c>
    </row>
  </sheetData>
  <conditionalFormatting sqref="C2:Z25">
    <cfRule type="expression" dxfId="2" priority="1">
      <formula>AND(C2=$B2, NOT(ISBLANK(C2)), NOT(ISBLANK($B2)))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"/>
  <sheetViews>
    <sheetView workbookViewId="0"/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tr">
        <f>Target_Values!A1</f>
        <v>Versuch</v>
      </c>
      <c r="B1" s="1" t="str">
        <f>Target_Values!B1</f>
        <v>Target Value</v>
      </c>
    </row>
    <row r="2" spans="1:2" x14ac:dyDescent="0.25">
      <c r="A2" s="1" t="str">
        <f>Target_Values!A2</f>
        <v>Modell</v>
      </c>
      <c r="B2" s="1" t="str">
        <f>Target_Values!B2</f>
        <v>MDO34</v>
      </c>
    </row>
    <row r="3" spans="1:2" x14ac:dyDescent="0.25">
      <c r="A3" s="1" t="str">
        <f>Target_Values!A3</f>
        <v>Bandbreite</v>
      </c>
      <c r="B3" s="1">
        <f>Target_Values!B3</f>
        <v>0</v>
      </c>
    </row>
    <row r="4" spans="1:2" x14ac:dyDescent="0.25">
      <c r="A4" s="1" t="str">
        <f>Target_Values!A4</f>
        <v>Anzahl Kanäle</v>
      </c>
      <c r="B4" s="1">
        <f>Target_Values!B4</f>
        <v>4</v>
      </c>
    </row>
    <row r="5" spans="1:2" x14ac:dyDescent="0.25">
      <c r="A5" s="1" t="str">
        <f>Target_Values!A5</f>
        <v>Samplerate</v>
      </c>
      <c r="B5" s="1">
        <f>Target_Values!B5</f>
        <v>5</v>
      </c>
    </row>
    <row r="6" spans="1:2" x14ac:dyDescent="0.25">
      <c r="A6" s="1" t="str">
        <f>Target_Values!A6</f>
        <v>Speichertiefe</v>
      </c>
      <c r="B6" s="1">
        <f>Target_Values!B6</f>
        <v>10</v>
      </c>
    </row>
    <row r="7" spans="1:2" x14ac:dyDescent="0.25">
      <c r="A7" s="1" t="str">
        <f>Target_Values!A7</f>
        <v>Triggerarten</v>
      </c>
      <c r="B7" s="1" t="str">
        <f>Target_Values!B7</f>
        <v>Edge, Sequence (B-trigger), Pulse Width, Timeout, Runt, Logic, Setup and Hold, Rise/Fall Time, Video
Optional: Parallel</v>
      </c>
    </row>
    <row r="8" spans="1:2" x14ac:dyDescent="0.25">
      <c r="A8" s="1" t="str">
        <f>Target_Values!A8</f>
        <v>Vertikale Auflösung</v>
      </c>
      <c r="B8" s="1">
        <f>Target_Values!B8</f>
        <v>8</v>
      </c>
    </row>
    <row r="9" spans="1:2" x14ac:dyDescent="0.25">
      <c r="A9" s="1" t="str">
        <f>Target_Values!A9</f>
        <v>Anzahl Digitalkanäle</v>
      </c>
      <c r="B9" s="1">
        <f>Target_Values!B9</f>
        <v>0</v>
      </c>
    </row>
    <row r="10" spans="1:2" x14ac:dyDescent="0.25">
      <c r="A10" s="1" t="str">
        <f>Target_Values!A10</f>
        <v>Bildschirmgröße</v>
      </c>
      <c r="B10" s="1">
        <f>Target_Values!B10</f>
        <v>29.5</v>
      </c>
    </row>
    <row r="11" spans="1:2" x14ac:dyDescent="0.25">
      <c r="A11" s="1" t="str">
        <f>Target_Values!A11</f>
        <v>Bildschirmtyp.pixel</v>
      </c>
      <c r="B11" s="1" t="str">
        <f>Target_Values!B11</f>
        <v>1920, 1080</v>
      </c>
    </row>
    <row r="12" spans="1:2" x14ac:dyDescent="0.25">
      <c r="A12" s="1" t="str">
        <f>Target_Values!A12</f>
        <v>Bildschirmtyp.screen_type</v>
      </c>
      <c r="B12" s="1" t="str">
        <f>Target_Values!B12</f>
        <v>HD Touchscreen</v>
      </c>
    </row>
    <row r="13" spans="1:2" x14ac:dyDescent="0.25">
      <c r="A13" s="1" t="str">
        <f>Target_Values!A13</f>
        <v>Schnittstellen.relevant_interfaces</v>
      </c>
      <c r="B13" s="1" t="str">
        <f>Target_Values!B13</f>
        <v>USB, LAN</v>
      </c>
    </row>
    <row r="14" spans="1:2" x14ac:dyDescent="0.25">
      <c r="A14" s="1" t="str">
        <f>Target_Values!A14</f>
        <v>Schnittstellen.optionale_interfaces</v>
      </c>
      <c r="B14" s="1">
        <f>Target_Values!B14</f>
        <v>0</v>
      </c>
    </row>
    <row r="15" spans="1:2" x14ac:dyDescent="0.25">
      <c r="A15" s="1" t="str">
        <f>Target_Values!A15</f>
        <v>unterstützende serielle Busse</v>
      </c>
      <c r="B15" s="1" t="str">
        <f>Target_Values!B15</f>
        <v>Optional: I²C, SPI, RS-232/422/485/UART, USB 2.0, CAN, CAN FD, LIN, FlexRay, MIL-STD-1553, ARINC429, I²S, LJ, RJ, TDM</v>
      </c>
    </row>
    <row r="16" spans="1:2" x14ac:dyDescent="0.25">
      <c r="A16" s="1" t="str">
        <f>Target_Values!A16</f>
        <v>Signalerfassungsrate</v>
      </c>
      <c r="B16" s="1">
        <f>Target_Values!B16</f>
        <v>280000</v>
      </c>
    </row>
    <row r="17" spans="1:2" x14ac:dyDescent="0.25">
      <c r="A17" s="1" t="str">
        <f>Target_Values!A17</f>
        <v>segmentierbarer Speicher</v>
      </c>
      <c r="B17" s="1">
        <f>Target_Values!B17</f>
        <v>0</v>
      </c>
    </row>
    <row r="18" spans="1:2" x14ac:dyDescent="0.25">
      <c r="A18" s="1" t="str">
        <f>Target_Values!A18</f>
        <v>Funktionsgenerator</v>
      </c>
      <c r="B18" s="1" t="str">
        <f>Target_Values!B18</f>
        <v>Optional</v>
      </c>
    </row>
    <row r="19" spans="1:2" x14ac:dyDescent="0.25">
      <c r="A19" s="1" t="str">
        <f>Target_Values!A19</f>
        <v>DVM</v>
      </c>
      <c r="B19" s="1" t="str">
        <f>Target_Values!B19</f>
        <v>Yes</v>
      </c>
    </row>
    <row r="20" spans="1:2" x14ac:dyDescent="0.25">
      <c r="A20" s="1" t="str">
        <f>Target_Values!A20</f>
        <v>Counter</v>
      </c>
      <c r="B20" s="1" t="str">
        <f>Target_Values!B20</f>
        <v>Yes</v>
      </c>
    </row>
    <row r="21" spans="1:2" x14ac:dyDescent="0.25">
      <c r="A21" s="1" t="str">
        <f>Target_Values!A21</f>
        <v>Besonderheiten</v>
      </c>
      <c r="B21" s="1" t="str">
        <f>Target_Values!B21</f>
        <v>Bandbreitenupgrade auf bis zu 1 GHz, 1 GHz Spectrum Analyzer</v>
      </c>
    </row>
    <row r="22" spans="1:2" x14ac:dyDescent="0.25">
      <c r="A22" s="1" t="str">
        <f>Target_Values!A22</f>
        <v>Abmessungen (L x B x H) (mm)</v>
      </c>
      <c r="B22" s="1" t="str">
        <f>Target_Values!B22</f>
        <v>148.6, 370, 252</v>
      </c>
    </row>
    <row r="23" spans="1:2" x14ac:dyDescent="0.25">
      <c r="A23" s="1" t="str">
        <f>Target_Values!A23</f>
        <v>Gewicht (kg)</v>
      </c>
      <c r="B23" s="1">
        <f>Target_Values!B23</f>
        <v>5.31</v>
      </c>
    </row>
    <row r="24" spans="1:2" x14ac:dyDescent="0.25">
      <c r="A24" s="1" t="str">
        <f>Target_Values!A24</f>
        <v>Garantie (Jahre)</v>
      </c>
      <c r="B24" s="1">
        <f>Target_Values!B24</f>
        <v>3</v>
      </c>
    </row>
    <row r="25" spans="1:2" x14ac:dyDescent="0.25">
      <c r="A25" s="1" t="str">
        <f>Target_Values!A25</f>
        <v>Artikelnummer</v>
      </c>
      <c r="B25" s="1" t="str">
        <f>Target_Values!B25</f>
        <v>MDO34</v>
      </c>
    </row>
  </sheetData>
  <conditionalFormatting sqref="C2:Z25">
    <cfRule type="expression" dxfId="1" priority="1">
      <formula>AND(C2=$B2, NOT(ISBLANK(C2)), NOT(ISBLANK($B2)))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workbookViewId="0"/>
  </sheetViews>
  <sheetFormatPr baseColWidth="10" defaultColWidth="9.140625" defaultRowHeight="15" x14ac:dyDescent="0.25"/>
  <cols>
    <col min="1" max="1" width="35" customWidth="1"/>
    <col min="2" max="2" width="30" customWidth="1"/>
  </cols>
  <sheetData>
    <row r="1" spans="1:2" x14ac:dyDescent="0.25">
      <c r="A1" s="1" t="str">
        <f>Target_Values!A1</f>
        <v>Versuch</v>
      </c>
      <c r="B1" s="1" t="str">
        <f>Target_Values!B1</f>
        <v>Target Value</v>
      </c>
    </row>
    <row r="2" spans="1:2" x14ac:dyDescent="0.25">
      <c r="A2" s="1" t="str">
        <f>Target_Values!A2</f>
        <v>Modell</v>
      </c>
      <c r="B2" s="1" t="str">
        <f>Target_Values!B2</f>
        <v>MDO34</v>
      </c>
    </row>
    <row r="3" spans="1:2" x14ac:dyDescent="0.25">
      <c r="A3" s="1" t="str">
        <f>Target_Values!A3</f>
        <v>Bandbreite</v>
      </c>
      <c r="B3" s="1">
        <f>Target_Values!B3</f>
        <v>0</v>
      </c>
    </row>
    <row r="4" spans="1:2" x14ac:dyDescent="0.25">
      <c r="A4" s="1" t="str">
        <f>Target_Values!A4</f>
        <v>Anzahl Kanäle</v>
      </c>
      <c r="B4" s="1">
        <f>Target_Values!B4</f>
        <v>4</v>
      </c>
    </row>
    <row r="5" spans="1:2" x14ac:dyDescent="0.25">
      <c r="A5" s="1" t="str">
        <f>Target_Values!A5</f>
        <v>Samplerate</v>
      </c>
      <c r="B5" s="1">
        <f>Target_Values!B5</f>
        <v>5</v>
      </c>
    </row>
    <row r="6" spans="1:2" x14ac:dyDescent="0.25">
      <c r="A6" s="1" t="str">
        <f>Target_Values!A6</f>
        <v>Speichertiefe</v>
      </c>
      <c r="B6" s="1">
        <f>Target_Values!B6</f>
        <v>10</v>
      </c>
    </row>
    <row r="7" spans="1:2" x14ac:dyDescent="0.25">
      <c r="A7" s="1" t="str">
        <f>Target_Values!A7</f>
        <v>Triggerarten</v>
      </c>
      <c r="B7" s="1" t="str">
        <f>Target_Values!B7</f>
        <v>Edge, Sequence (B-trigger), Pulse Width, Timeout, Runt, Logic, Setup and Hold, Rise/Fall Time, Video
Optional: Parallel</v>
      </c>
    </row>
    <row r="8" spans="1:2" x14ac:dyDescent="0.25">
      <c r="A8" s="1" t="str">
        <f>Target_Values!A8</f>
        <v>Vertikale Auflösung</v>
      </c>
      <c r="B8" s="1">
        <f>Target_Values!B8</f>
        <v>8</v>
      </c>
    </row>
    <row r="9" spans="1:2" x14ac:dyDescent="0.25">
      <c r="A9" s="1" t="str">
        <f>Target_Values!A9</f>
        <v>Anzahl Digitalkanäle</v>
      </c>
      <c r="B9" s="1">
        <f>Target_Values!B9</f>
        <v>0</v>
      </c>
    </row>
    <row r="10" spans="1:2" x14ac:dyDescent="0.25">
      <c r="A10" s="1" t="str">
        <f>Target_Values!A10</f>
        <v>Bildschirmgröße</v>
      </c>
      <c r="B10" s="1">
        <f>Target_Values!B10</f>
        <v>29.5</v>
      </c>
    </row>
    <row r="11" spans="1:2" x14ac:dyDescent="0.25">
      <c r="A11" s="1" t="str">
        <f>Target_Values!A11</f>
        <v>Bildschirmtyp.pixel</v>
      </c>
      <c r="B11" s="1" t="str">
        <f>Target_Values!B11</f>
        <v>1920, 1080</v>
      </c>
    </row>
    <row r="12" spans="1:2" x14ac:dyDescent="0.25">
      <c r="A12" s="1" t="str">
        <f>Target_Values!A12</f>
        <v>Bildschirmtyp.screen_type</v>
      </c>
      <c r="B12" s="1" t="str">
        <f>Target_Values!B12</f>
        <v>HD Touchscreen</v>
      </c>
    </row>
    <row r="13" spans="1:2" x14ac:dyDescent="0.25">
      <c r="A13" s="1" t="str">
        <f>Target_Values!A13</f>
        <v>Schnittstellen.relevant_interfaces</v>
      </c>
      <c r="B13" s="1" t="str">
        <f>Target_Values!B13</f>
        <v>USB, LAN</v>
      </c>
    </row>
    <row r="14" spans="1:2" x14ac:dyDescent="0.25">
      <c r="A14" s="1" t="str">
        <f>Target_Values!A14</f>
        <v>Schnittstellen.optionale_interfaces</v>
      </c>
      <c r="B14" s="1">
        <f>Target_Values!B14</f>
        <v>0</v>
      </c>
    </row>
    <row r="15" spans="1:2" x14ac:dyDescent="0.25">
      <c r="A15" s="1" t="str">
        <f>Target_Values!A15</f>
        <v>unterstützende serielle Busse</v>
      </c>
      <c r="B15" s="1" t="str">
        <f>Target_Values!B15</f>
        <v>Optional: I²C, SPI, RS-232/422/485/UART, USB 2.0, CAN, CAN FD, LIN, FlexRay, MIL-STD-1553, ARINC429, I²S, LJ, RJ, TDM</v>
      </c>
    </row>
    <row r="16" spans="1:2" x14ac:dyDescent="0.25">
      <c r="A16" s="1" t="str">
        <f>Target_Values!A16</f>
        <v>Signalerfassungsrate</v>
      </c>
      <c r="B16" s="1">
        <f>Target_Values!B16</f>
        <v>280000</v>
      </c>
    </row>
    <row r="17" spans="1:2" x14ac:dyDescent="0.25">
      <c r="A17" s="1" t="str">
        <f>Target_Values!A17</f>
        <v>segmentierbarer Speicher</v>
      </c>
      <c r="B17" s="1">
        <f>Target_Values!B17</f>
        <v>0</v>
      </c>
    </row>
    <row r="18" spans="1:2" x14ac:dyDescent="0.25">
      <c r="A18" s="1" t="str">
        <f>Target_Values!A18</f>
        <v>Funktionsgenerator</v>
      </c>
      <c r="B18" s="1" t="str">
        <f>Target_Values!B18</f>
        <v>Optional</v>
      </c>
    </row>
    <row r="19" spans="1:2" x14ac:dyDescent="0.25">
      <c r="A19" s="1" t="str">
        <f>Target_Values!A19</f>
        <v>DVM</v>
      </c>
      <c r="B19" s="1" t="str">
        <f>Target_Values!B19</f>
        <v>Yes</v>
      </c>
    </row>
    <row r="20" spans="1:2" x14ac:dyDescent="0.25">
      <c r="A20" s="1" t="str">
        <f>Target_Values!A20</f>
        <v>Counter</v>
      </c>
      <c r="B20" s="1" t="str">
        <f>Target_Values!B20</f>
        <v>Yes</v>
      </c>
    </row>
    <row r="21" spans="1:2" x14ac:dyDescent="0.25">
      <c r="A21" s="1" t="str">
        <f>Target_Values!A21</f>
        <v>Besonderheiten</v>
      </c>
      <c r="B21" s="1" t="str">
        <f>Target_Values!B21</f>
        <v>Bandbreitenupgrade auf bis zu 1 GHz, 1 GHz Spectrum Analyzer</v>
      </c>
    </row>
    <row r="22" spans="1:2" x14ac:dyDescent="0.25">
      <c r="A22" s="1" t="str">
        <f>Target_Values!A22</f>
        <v>Abmessungen (L x B x H) (mm)</v>
      </c>
      <c r="B22" s="1" t="str">
        <f>Target_Values!B22</f>
        <v>148.6, 370, 252</v>
      </c>
    </row>
    <row r="23" spans="1:2" x14ac:dyDescent="0.25">
      <c r="A23" s="1" t="str">
        <f>Target_Values!A23</f>
        <v>Gewicht (kg)</v>
      </c>
      <c r="B23" s="1">
        <f>Target_Values!B23</f>
        <v>5.31</v>
      </c>
    </row>
    <row r="24" spans="1:2" x14ac:dyDescent="0.25">
      <c r="A24" s="1" t="str">
        <f>Target_Values!A24</f>
        <v>Garantie (Jahre)</v>
      </c>
      <c r="B24" s="1">
        <f>Target_Values!B24</f>
        <v>3</v>
      </c>
    </row>
    <row r="25" spans="1:2" x14ac:dyDescent="0.25">
      <c r="A25" s="1" t="str">
        <f>Target_Values!A25</f>
        <v>Artikelnummer</v>
      </c>
      <c r="B25" s="1" t="str">
        <f>Target_Values!B25</f>
        <v>MDO34</v>
      </c>
    </row>
  </sheetData>
  <conditionalFormatting sqref="C2:Z25">
    <cfRule type="expression" dxfId="0" priority="1">
      <formula>AND(C2=$B2, NOT(ISBLANK(C2)), NOT(ISBLANK($B2)))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Target_Values</vt:lpstr>
      <vt:lpstr>Gemini-3-thinking</vt:lpstr>
      <vt:lpstr>Deepseek</vt:lpstr>
      <vt:lpstr>Sonnet-4.5</vt:lpstr>
      <vt:lpstr>chatGPT-5.1</vt:lpstr>
      <vt:lpstr>chatGPT-4o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Jauß</cp:lastModifiedBy>
  <dcterms:created xsi:type="dcterms:W3CDTF">2025-11-19T21:44:56Z</dcterms:created>
  <dcterms:modified xsi:type="dcterms:W3CDTF">2025-11-19T22:06:24Z</dcterms:modified>
</cp:coreProperties>
</file>